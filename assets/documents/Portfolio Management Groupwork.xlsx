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archie/Downloads/"/>
    </mc:Choice>
  </mc:AlternateContent>
  <xr:revisionPtr revIDLastSave="0" documentId="13_ncr:1_{4116FF84-AFBA-6141-AA02-0C6D7B853EF1}" xr6:coauthVersionLast="47" xr6:coauthVersionMax="47" xr10:uidLastSave="{00000000-0000-0000-0000-000000000000}"/>
  <bookViews>
    <workbookView xWindow="0" yWindow="660" windowWidth="29400" windowHeight="18460" activeTab="5" xr2:uid="{CACA692F-2F7B-D643-A195-E45568CC1C79}"/>
  </bookViews>
  <sheets>
    <sheet name="Prices" sheetId="1" r:id="rId1"/>
    <sheet name="Efficient Frontier &amp; Specific " sheetId="2" r:id="rId2"/>
    <sheet name="Explanations" sheetId="3" r:id="rId3"/>
    <sheet name="No short sales" sheetId="4" r:id="rId4"/>
    <sheet name="Changing the data +2% Vol" sheetId="6" r:id="rId5"/>
    <sheet name="Diversity 9 assets" sheetId="7" r:id="rId6"/>
  </sheets>
  <definedNames>
    <definedName name="solver_adj" localSheetId="4" hidden="1">'Changing the data +2% Vol'!$C$22:$L$22</definedName>
    <definedName name="solver_adj" localSheetId="5" hidden="1">'Diversity 9 assets'!$B$19:$J$19</definedName>
    <definedName name="solver_adj" localSheetId="1" hidden="1">'Efficient Frontier &amp; Specific '!$B$22:$K$22</definedName>
    <definedName name="solver_adj" localSheetId="3" hidden="1">'No short sales'!$B$22:$K$22</definedName>
    <definedName name="solver_cvg" localSheetId="4" hidden="1">0.0001</definedName>
    <definedName name="solver_cvg" localSheetId="5" hidden="1">0.0001</definedName>
    <definedName name="solver_cvg" localSheetId="1" hidden="1">0.0001</definedName>
    <definedName name="solver_cvg" localSheetId="3" hidden="1">0.0001</definedName>
    <definedName name="solver_drv" localSheetId="4" hidden="1">1</definedName>
    <definedName name="solver_drv" localSheetId="5" hidden="1">1</definedName>
    <definedName name="solver_drv" localSheetId="1" hidden="1">1</definedName>
    <definedName name="solver_drv" localSheetId="3" hidden="1">1</definedName>
    <definedName name="solver_eng" localSheetId="4" hidden="1">1</definedName>
    <definedName name="solver_eng" localSheetId="5" hidden="1">1</definedName>
    <definedName name="solver_eng" localSheetId="1" hidden="1">1</definedName>
    <definedName name="solver_eng" localSheetId="3" hidden="1">1</definedName>
    <definedName name="solver_est" localSheetId="4" hidden="1">1</definedName>
    <definedName name="solver_est" localSheetId="5" hidden="1">1</definedName>
    <definedName name="solver_est" localSheetId="1" hidden="1">1</definedName>
    <definedName name="solver_est" localSheetId="3" hidden="1">1</definedName>
    <definedName name="solver_itr" localSheetId="4" hidden="1">2147483647</definedName>
    <definedName name="solver_itr" localSheetId="5" hidden="1">2147483647</definedName>
    <definedName name="solver_itr" localSheetId="1" hidden="1">2147483647</definedName>
    <definedName name="solver_itr" localSheetId="3" hidden="1">2147483647</definedName>
    <definedName name="solver_lhs1" localSheetId="4" hidden="1">'Changing the data +2% Vol'!$B$22</definedName>
    <definedName name="solver_lhs1" localSheetId="5" hidden="1">'Diversity 9 assets'!$A$19</definedName>
    <definedName name="solver_lhs1" localSheetId="1" hidden="1">'Efficient Frontier &amp; Specific '!$A$22</definedName>
    <definedName name="solver_lhs1" localSheetId="3" hidden="1">'No short sales'!$A$22</definedName>
    <definedName name="solver_lhs2" localSheetId="4" hidden="1">'Changing the data +2% Vol'!$O$22</definedName>
    <definedName name="solver_lhs2" localSheetId="5" hidden="1">'Diversity 9 assets'!$M$19</definedName>
    <definedName name="solver_lhs2" localSheetId="1" hidden="1">'Efficient Frontier &amp; Specific '!$N$22</definedName>
    <definedName name="solver_lhs2" localSheetId="3" hidden="1">'No short sales'!$B$22:$K$22</definedName>
    <definedName name="solver_lhs3" localSheetId="5" hidden="1">'Diversity 9 assets'!$M$19</definedName>
    <definedName name="solver_lhs3" localSheetId="1" hidden="1">'Efficient Frontier &amp; Specific '!$N$22</definedName>
    <definedName name="solver_lhs3" localSheetId="3" hidden="1">'No short sales'!$N$22</definedName>
    <definedName name="solver_lin" localSheetId="4" hidden="1">2</definedName>
    <definedName name="solver_lin" localSheetId="5" hidden="1">2</definedName>
    <definedName name="solver_lin" localSheetId="1" hidden="1">2</definedName>
    <definedName name="solver_lin" localSheetId="3" hidden="1">2</definedName>
    <definedName name="solver_mip" localSheetId="4" hidden="1">2147483647</definedName>
    <definedName name="solver_mip" localSheetId="5" hidden="1">2147483647</definedName>
    <definedName name="solver_mip" localSheetId="1" hidden="1">2147483647</definedName>
    <definedName name="solver_mip" localSheetId="3" hidden="1">2147483647</definedName>
    <definedName name="solver_mni" localSheetId="4" hidden="1">30</definedName>
    <definedName name="solver_mni" localSheetId="5" hidden="1">30</definedName>
    <definedName name="solver_mni" localSheetId="1" hidden="1">30</definedName>
    <definedName name="solver_mni" localSheetId="3" hidden="1">30</definedName>
    <definedName name="solver_mrt" localSheetId="4" hidden="1">0.075</definedName>
    <definedName name="solver_mrt" localSheetId="5" hidden="1">0.075</definedName>
    <definedName name="solver_mrt" localSheetId="1" hidden="1">0.075</definedName>
    <definedName name="solver_mrt" localSheetId="3" hidden="1">0.075</definedName>
    <definedName name="solver_msl" localSheetId="4" hidden="1">2</definedName>
    <definedName name="solver_msl" localSheetId="5" hidden="1">2</definedName>
    <definedName name="solver_msl" localSheetId="1" hidden="1">2</definedName>
    <definedName name="solver_msl" localSheetId="3" hidden="1">2</definedName>
    <definedName name="solver_neg" localSheetId="4" hidden="1">2</definedName>
    <definedName name="solver_neg" localSheetId="5" hidden="1">2</definedName>
    <definedName name="solver_neg" localSheetId="1" hidden="1">2</definedName>
    <definedName name="solver_neg" localSheetId="3" hidden="1">1</definedName>
    <definedName name="solver_nod" localSheetId="4" hidden="1">2147483647</definedName>
    <definedName name="solver_nod" localSheetId="5" hidden="1">2147483647</definedName>
    <definedName name="solver_nod" localSheetId="1" hidden="1">2147483647</definedName>
    <definedName name="solver_nod" localSheetId="3" hidden="1">2147483647</definedName>
    <definedName name="solver_num" localSheetId="4" hidden="1">2</definedName>
    <definedName name="solver_num" localSheetId="5" hidden="1">2</definedName>
    <definedName name="solver_num" localSheetId="1" hidden="1">2</definedName>
    <definedName name="solver_num" localSheetId="3" hidden="1">3</definedName>
    <definedName name="solver_nwt" localSheetId="4" hidden="1">1</definedName>
    <definedName name="solver_nwt" localSheetId="5" hidden="1">1</definedName>
    <definedName name="solver_nwt" localSheetId="1" hidden="1">1</definedName>
    <definedName name="solver_nwt" localSheetId="3" hidden="1">1</definedName>
    <definedName name="solver_opt" localSheetId="4" hidden="1">'Changing the data +2% Vol'!$M$22</definedName>
    <definedName name="solver_opt" localSheetId="5" hidden="1">'Diversity 9 assets'!$K$19</definedName>
    <definedName name="solver_opt" localSheetId="1" hidden="1">'Efficient Frontier &amp; Specific '!$L$22</definedName>
    <definedName name="solver_opt" localSheetId="3" hidden="1">'No short sales'!$L$22</definedName>
    <definedName name="solver_pre" localSheetId="4" hidden="1">0.000001</definedName>
    <definedName name="solver_pre" localSheetId="5" hidden="1">0.000001</definedName>
    <definedName name="solver_pre" localSheetId="1" hidden="1">0.000001</definedName>
    <definedName name="solver_pre" localSheetId="3" hidden="1">0.000001</definedName>
    <definedName name="solver_rbv" localSheetId="4" hidden="1">1</definedName>
    <definedName name="solver_rbv" localSheetId="5" hidden="1">1</definedName>
    <definedName name="solver_rbv" localSheetId="1" hidden="1">1</definedName>
    <definedName name="solver_rbv" localSheetId="3" hidden="1">1</definedName>
    <definedName name="solver_rel1" localSheetId="4" hidden="1">2</definedName>
    <definedName name="solver_rel1" localSheetId="5" hidden="1">2</definedName>
    <definedName name="solver_rel1" localSheetId="1" hidden="1">2</definedName>
    <definedName name="solver_rel1" localSheetId="3" hidden="1">2</definedName>
    <definedName name="solver_rel2" localSheetId="4" hidden="1">2</definedName>
    <definedName name="solver_rel2" localSheetId="5" hidden="1">2</definedName>
    <definedName name="solver_rel2" localSheetId="1" hidden="1">2</definedName>
    <definedName name="solver_rel2" localSheetId="3" hidden="1">3</definedName>
    <definedName name="solver_rel3" localSheetId="5" hidden="1">3</definedName>
    <definedName name="solver_rel3" localSheetId="1" hidden="1">2</definedName>
    <definedName name="solver_rel3" localSheetId="3" hidden="1">2</definedName>
    <definedName name="solver_rhs1" localSheetId="4" hidden="1">1</definedName>
    <definedName name="solver_rhs1" localSheetId="5" hidden="1">1</definedName>
    <definedName name="solver_rhs1" localSheetId="1" hidden="1">1</definedName>
    <definedName name="solver_rhs1" localSheetId="3" hidden="1">1</definedName>
    <definedName name="solver_rhs2" localSheetId="4" hidden="1">'Changing the data +2% Vol'!$P$22</definedName>
    <definedName name="solver_rhs2" localSheetId="5" hidden="1">'Diversity 9 assets'!$N$19</definedName>
    <definedName name="solver_rhs2" localSheetId="1" hidden="1">'Efficient Frontier &amp; Specific '!$O$22</definedName>
    <definedName name="solver_rhs2" localSheetId="3" hidden="1">0</definedName>
    <definedName name="solver_rhs3" localSheetId="5" hidden="1">0</definedName>
    <definedName name="solver_rhs3" localSheetId="1" hidden="1">'Efficient Frontier &amp; Specific '!$O$22</definedName>
    <definedName name="solver_rhs3" localSheetId="3" hidden="1">'No short sales'!$O$22</definedName>
    <definedName name="solver_rlx" localSheetId="4" hidden="1">2</definedName>
    <definedName name="solver_rlx" localSheetId="5" hidden="1">2</definedName>
    <definedName name="solver_rlx" localSheetId="1" hidden="1">2</definedName>
    <definedName name="solver_rlx" localSheetId="3" hidden="1">2</definedName>
    <definedName name="solver_rsd" localSheetId="4" hidden="1">0</definedName>
    <definedName name="solver_rsd" localSheetId="5" hidden="1">0</definedName>
    <definedName name="solver_rsd" localSheetId="1" hidden="1">0</definedName>
    <definedName name="solver_rsd" localSheetId="3" hidden="1">0</definedName>
    <definedName name="solver_scl" localSheetId="4" hidden="1">1</definedName>
    <definedName name="solver_scl" localSheetId="5" hidden="1">1</definedName>
    <definedName name="solver_scl" localSheetId="1" hidden="1">1</definedName>
    <definedName name="solver_scl" localSheetId="3" hidden="1">1</definedName>
    <definedName name="solver_sho" localSheetId="4" hidden="1">2</definedName>
    <definedName name="solver_sho" localSheetId="5" hidden="1">2</definedName>
    <definedName name="solver_sho" localSheetId="1" hidden="1">2</definedName>
    <definedName name="solver_sho" localSheetId="3" hidden="1">2</definedName>
    <definedName name="solver_ssz" localSheetId="4" hidden="1">100</definedName>
    <definedName name="solver_ssz" localSheetId="5" hidden="1">100</definedName>
    <definedName name="solver_ssz" localSheetId="1" hidden="1">100</definedName>
    <definedName name="solver_ssz" localSheetId="3" hidden="1">100</definedName>
    <definedName name="solver_tim" localSheetId="4" hidden="1">2147483647</definedName>
    <definedName name="solver_tim" localSheetId="5" hidden="1">2147483647</definedName>
    <definedName name="solver_tim" localSheetId="1" hidden="1">2147483647</definedName>
    <definedName name="solver_tim" localSheetId="3" hidden="1">2147483647</definedName>
    <definedName name="solver_tol" localSheetId="4" hidden="1">0.01</definedName>
    <definedName name="solver_tol" localSheetId="5" hidden="1">0.01</definedName>
    <definedName name="solver_tol" localSheetId="1" hidden="1">0.01</definedName>
    <definedName name="solver_tol" localSheetId="3" hidden="1">0.01</definedName>
    <definedName name="solver_typ" localSheetId="4" hidden="1">2</definedName>
    <definedName name="solver_typ" localSheetId="5" hidden="1">2</definedName>
    <definedName name="solver_typ" localSheetId="1" hidden="1">2</definedName>
    <definedName name="solver_typ" localSheetId="3" hidden="1">2</definedName>
    <definedName name="solver_val" localSheetId="4" hidden="1">0.08</definedName>
    <definedName name="solver_val" localSheetId="5" hidden="1">0</definedName>
    <definedName name="solver_val" localSheetId="1" hidden="1">0</definedName>
    <definedName name="solver_val" localSheetId="3" hidden="1">0</definedName>
    <definedName name="solver_ver" localSheetId="4" hidden="1">3</definedName>
    <definedName name="solver_ver" localSheetId="5" hidden="1">3</definedName>
    <definedName name="solver_ver" localSheetId="1" hidden="1">3</definedName>
    <definedName name="solver_ver" localSheetId="3" hidden="1">3</definedName>
    <definedName name="SPY_ETF_Stock_Price_History__1" localSheetId="0">Prices!$A$1:$G$3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3" i="7" l="1"/>
  <c r="L44" i="7"/>
  <c r="L45" i="7"/>
  <c r="L46" i="7"/>
  <c r="L47" i="7"/>
  <c r="L48" i="7"/>
  <c r="L42" i="7"/>
  <c r="N45" i="6"/>
  <c r="N46" i="6"/>
  <c r="N47" i="6"/>
  <c r="N48" i="6"/>
  <c r="N49" i="6"/>
  <c r="N50" i="6"/>
  <c r="N44" i="6"/>
  <c r="M39" i="7"/>
  <c r="L39" i="7"/>
  <c r="AA3" i="7" a="1"/>
  <c r="P22" i="6"/>
  <c r="O45" i="6"/>
  <c r="O46" i="6"/>
  <c r="O47" i="6"/>
  <c r="O48" i="6"/>
  <c r="O49" i="6"/>
  <c r="O50" i="6"/>
  <c r="O44" i="6"/>
  <c r="O41" i="6"/>
  <c r="N41" i="6"/>
  <c r="B13" i="6"/>
  <c r="B14" i="7" s="1"/>
  <c r="M43" i="4"/>
  <c r="M42" i="4"/>
  <c r="B34" i="6"/>
  <c r="A3" i="6"/>
  <c r="B3" i="6"/>
  <c r="C3" i="6"/>
  <c r="A4" i="6"/>
  <c r="B4" i="6"/>
  <c r="C4" i="6"/>
  <c r="A5" i="6"/>
  <c r="B5" i="6"/>
  <c r="C5" i="6"/>
  <c r="A6" i="6"/>
  <c r="B6" i="6"/>
  <c r="C6" i="6"/>
  <c r="D6" i="6" s="1"/>
  <c r="A7" i="6"/>
  <c r="B7" i="6"/>
  <c r="C7" i="6"/>
  <c r="D7" i="6" s="1"/>
  <c r="A8" i="6"/>
  <c r="B8" i="6"/>
  <c r="C8" i="6"/>
  <c r="A9" i="6"/>
  <c r="B9" i="6"/>
  <c r="C9" i="6"/>
  <c r="D9" i="6" s="1"/>
  <c r="A10" i="6"/>
  <c r="B10" i="6"/>
  <c r="C10" i="6"/>
  <c r="D10" i="6" s="1"/>
  <c r="A11" i="6"/>
  <c r="B11" i="6"/>
  <c r="C11" i="6"/>
  <c r="A12" i="6"/>
  <c r="B12" i="6"/>
  <c r="C12" i="6"/>
  <c r="D12" i="6" s="1"/>
  <c r="D3" i="6"/>
  <c r="D4" i="6"/>
  <c r="D5" i="6"/>
  <c r="D8" i="6"/>
  <c r="D11" i="6"/>
  <c r="M49" i="4"/>
  <c r="N49" i="4"/>
  <c r="M48" i="4"/>
  <c r="N48" i="4"/>
  <c r="N43" i="4"/>
  <c r="N44" i="4"/>
  <c r="N45" i="4"/>
  <c r="N46" i="4"/>
  <c r="N47" i="4"/>
  <c r="N42" i="4"/>
  <c r="M44" i="4"/>
  <c r="M45" i="4"/>
  <c r="M46" i="4"/>
  <c r="M47" i="4"/>
  <c r="N39" i="4"/>
  <c r="M39" i="4"/>
  <c r="M44" i="2"/>
  <c r="A13" i="4"/>
  <c r="A13" i="6" s="1"/>
  <c r="A14" i="7" s="1"/>
  <c r="Q2" i="4" a="1"/>
  <c r="Q2" i="4" s="1"/>
  <c r="E2" i="4" a="1"/>
  <c r="E2" i="4" s="1"/>
  <c r="N47" i="2"/>
  <c r="N48" i="2"/>
  <c r="M45" i="2"/>
  <c r="M46" i="2"/>
  <c r="M47" i="2"/>
  <c r="M48" i="2"/>
  <c r="M49" i="2"/>
  <c r="M50" i="2"/>
  <c r="N41" i="2"/>
  <c r="M41" i="2"/>
  <c r="B14" i="2"/>
  <c r="N45" i="2" s="1"/>
  <c r="B4" i="2"/>
  <c r="AN27" i="1"/>
  <c r="M6" i="1"/>
  <c r="N6" i="1"/>
  <c r="O6" i="1"/>
  <c r="P6" i="1"/>
  <c r="Q6" i="1"/>
  <c r="R6" i="1"/>
  <c r="S6" i="1"/>
  <c r="T6" i="1"/>
  <c r="U6" i="1"/>
  <c r="V6" i="1"/>
  <c r="M7" i="1"/>
  <c r="N7" i="1"/>
  <c r="O7" i="1"/>
  <c r="P7" i="1"/>
  <c r="Q7" i="1"/>
  <c r="R7" i="1"/>
  <c r="S7" i="1"/>
  <c r="T7" i="1"/>
  <c r="U7" i="1"/>
  <c r="V7" i="1"/>
  <c r="M8" i="1"/>
  <c r="N8" i="1"/>
  <c r="O8" i="1"/>
  <c r="P8" i="1"/>
  <c r="Q8" i="1"/>
  <c r="R8" i="1"/>
  <c r="S8" i="1"/>
  <c r="T8" i="1"/>
  <c r="U8" i="1"/>
  <c r="V8" i="1"/>
  <c r="M9" i="1"/>
  <c r="N9" i="1"/>
  <c r="O9" i="1"/>
  <c r="P9" i="1"/>
  <c r="Q9" i="1"/>
  <c r="R9" i="1"/>
  <c r="S9" i="1"/>
  <c r="T9" i="1"/>
  <c r="U9" i="1"/>
  <c r="V9" i="1"/>
  <c r="M10" i="1"/>
  <c r="N10" i="1"/>
  <c r="O10" i="1"/>
  <c r="P10" i="1"/>
  <c r="Q10" i="1"/>
  <c r="R10" i="1"/>
  <c r="S10" i="1"/>
  <c r="T10" i="1"/>
  <c r="U10" i="1"/>
  <c r="V10" i="1"/>
  <c r="M11" i="1"/>
  <c r="N11" i="1"/>
  <c r="O11" i="1"/>
  <c r="P11" i="1"/>
  <c r="Q11" i="1"/>
  <c r="R11" i="1"/>
  <c r="S11" i="1"/>
  <c r="T11" i="1"/>
  <c r="U11" i="1"/>
  <c r="V11" i="1"/>
  <c r="M12" i="1"/>
  <c r="N12" i="1"/>
  <c r="O12" i="1"/>
  <c r="P12" i="1"/>
  <c r="Q12" i="1"/>
  <c r="R12" i="1"/>
  <c r="S12" i="1"/>
  <c r="T12" i="1"/>
  <c r="U12" i="1"/>
  <c r="V12" i="1"/>
  <c r="M13" i="1"/>
  <c r="N13" i="1"/>
  <c r="O13" i="1"/>
  <c r="P13" i="1"/>
  <c r="Q13" i="1"/>
  <c r="R13" i="1"/>
  <c r="S13" i="1"/>
  <c r="T13" i="1"/>
  <c r="U13" i="1"/>
  <c r="V13" i="1"/>
  <c r="M14" i="1"/>
  <c r="N14" i="1"/>
  <c r="O14" i="1"/>
  <c r="P14" i="1"/>
  <c r="Q14" i="1"/>
  <c r="R14" i="1"/>
  <c r="S14" i="1"/>
  <c r="T14" i="1"/>
  <c r="U14" i="1"/>
  <c r="V14" i="1"/>
  <c r="M15" i="1"/>
  <c r="N15" i="1"/>
  <c r="O15" i="1"/>
  <c r="P15" i="1"/>
  <c r="Q15" i="1"/>
  <c r="R15" i="1"/>
  <c r="S15" i="1"/>
  <c r="T15" i="1"/>
  <c r="U15" i="1"/>
  <c r="V15" i="1"/>
  <c r="M16" i="1"/>
  <c r="N16" i="1"/>
  <c r="O16" i="1"/>
  <c r="P16" i="1"/>
  <c r="Q16" i="1"/>
  <c r="R16" i="1"/>
  <c r="S16" i="1"/>
  <c r="T16" i="1"/>
  <c r="U16" i="1"/>
  <c r="V16" i="1"/>
  <c r="M17" i="1"/>
  <c r="N17" i="1"/>
  <c r="O17" i="1"/>
  <c r="P17" i="1"/>
  <c r="Q17" i="1"/>
  <c r="R17" i="1"/>
  <c r="S17" i="1"/>
  <c r="T17" i="1"/>
  <c r="U17" i="1"/>
  <c r="V17" i="1"/>
  <c r="M18" i="1"/>
  <c r="N18" i="1"/>
  <c r="O18" i="1"/>
  <c r="P18" i="1"/>
  <c r="Q18" i="1"/>
  <c r="R18" i="1"/>
  <c r="S18" i="1"/>
  <c r="T18" i="1"/>
  <c r="U18" i="1"/>
  <c r="V18" i="1"/>
  <c r="M19" i="1"/>
  <c r="N19" i="1"/>
  <c r="O19" i="1"/>
  <c r="P19" i="1"/>
  <c r="Q19" i="1"/>
  <c r="R19" i="1"/>
  <c r="S19" i="1"/>
  <c r="T19" i="1"/>
  <c r="U19" i="1"/>
  <c r="V19" i="1"/>
  <c r="M20" i="1"/>
  <c r="N20" i="1"/>
  <c r="O20" i="1"/>
  <c r="P20" i="1"/>
  <c r="Q20" i="1"/>
  <c r="R20" i="1"/>
  <c r="S20" i="1"/>
  <c r="T20" i="1"/>
  <c r="U20" i="1"/>
  <c r="V20" i="1"/>
  <c r="M21" i="1"/>
  <c r="N21" i="1"/>
  <c r="O21" i="1"/>
  <c r="P21" i="1"/>
  <c r="Q21" i="1"/>
  <c r="R21" i="1"/>
  <c r="S21" i="1"/>
  <c r="T21" i="1"/>
  <c r="U21" i="1"/>
  <c r="V21" i="1"/>
  <c r="M22" i="1"/>
  <c r="N22" i="1"/>
  <c r="O22" i="1"/>
  <c r="P22" i="1"/>
  <c r="Q22" i="1"/>
  <c r="R22" i="1"/>
  <c r="S22" i="1"/>
  <c r="T22" i="1"/>
  <c r="U22" i="1"/>
  <c r="V22" i="1"/>
  <c r="M23" i="1"/>
  <c r="N23" i="1"/>
  <c r="O23" i="1"/>
  <c r="P23" i="1"/>
  <c r="Q23" i="1"/>
  <c r="R23" i="1"/>
  <c r="S23" i="1"/>
  <c r="T23" i="1"/>
  <c r="U23" i="1"/>
  <c r="V23" i="1"/>
  <c r="M24" i="1"/>
  <c r="N24" i="1"/>
  <c r="O24" i="1"/>
  <c r="P24" i="1"/>
  <c r="Q24" i="1"/>
  <c r="R24" i="1"/>
  <c r="S24" i="1"/>
  <c r="T24" i="1"/>
  <c r="U24" i="1"/>
  <c r="V24" i="1"/>
  <c r="M25" i="1"/>
  <c r="N25" i="1"/>
  <c r="O25" i="1"/>
  <c r="P25" i="1"/>
  <c r="Q25" i="1"/>
  <c r="R25" i="1"/>
  <c r="S25" i="1"/>
  <c r="T25" i="1"/>
  <c r="U25" i="1"/>
  <c r="V25" i="1"/>
  <c r="M26" i="1"/>
  <c r="N26" i="1"/>
  <c r="O26" i="1"/>
  <c r="P26" i="1"/>
  <c r="Q26" i="1"/>
  <c r="R26" i="1"/>
  <c r="S26" i="1"/>
  <c r="T26" i="1"/>
  <c r="U26" i="1"/>
  <c r="V26" i="1"/>
  <c r="M27" i="1"/>
  <c r="N27" i="1"/>
  <c r="O27" i="1"/>
  <c r="P27" i="1"/>
  <c r="Q27" i="1"/>
  <c r="R27" i="1"/>
  <c r="S27" i="1"/>
  <c r="T27" i="1"/>
  <c r="U27" i="1"/>
  <c r="V27" i="1"/>
  <c r="M28" i="1"/>
  <c r="N28" i="1"/>
  <c r="O28" i="1"/>
  <c r="P28" i="1"/>
  <c r="Q28" i="1"/>
  <c r="R28" i="1"/>
  <c r="S28" i="1"/>
  <c r="T28" i="1"/>
  <c r="U28" i="1"/>
  <c r="V28" i="1"/>
  <c r="M29" i="1"/>
  <c r="N29" i="1"/>
  <c r="O29" i="1"/>
  <c r="P29" i="1"/>
  <c r="Q29" i="1"/>
  <c r="R29" i="1"/>
  <c r="S29" i="1"/>
  <c r="T29" i="1"/>
  <c r="U29" i="1"/>
  <c r="V29" i="1"/>
  <c r="M30" i="1"/>
  <c r="N30" i="1"/>
  <c r="O30" i="1"/>
  <c r="P30" i="1"/>
  <c r="Q30" i="1"/>
  <c r="R30" i="1"/>
  <c r="S30" i="1"/>
  <c r="T30" i="1"/>
  <c r="U30" i="1"/>
  <c r="V30" i="1"/>
  <c r="M31" i="1"/>
  <c r="N31" i="1"/>
  <c r="O31" i="1"/>
  <c r="P31" i="1"/>
  <c r="Q31" i="1"/>
  <c r="R31" i="1"/>
  <c r="S31" i="1"/>
  <c r="T31" i="1"/>
  <c r="U31" i="1"/>
  <c r="V31" i="1"/>
  <c r="M32" i="1"/>
  <c r="N32" i="1"/>
  <c r="O32" i="1"/>
  <c r="P32" i="1"/>
  <c r="Q32" i="1"/>
  <c r="R32" i="1"/>
  <c r="S32" i="1"/>
  <c r="T32" i="1"/>
  <c r="U32" i="1"/>
  <c r="V32" i="1"/>
  <c r="M33" i="1"/>
  <c r="N33" i="1"/>
  <c r="O33" i="1"/>
  <c r="P33" i="1"/>
  <c r="Q33" i="1"/>
  <c r="R33" i="1"/>
  <c r="S33" i="1"/>
  <c r="T33" i="1"/>
  <c r="U33" i="1"/>
  <c r="V33" i="1"/>
  <c r="M34" i="1"/>
  <c r="N34" i="1"/>
  <c r="O34" i="1"/>
  <c r="P34" i="1"/>
  <c r="Q34" i="1"/>
  <c r="R34" i="1"/>
  <c r="S34" i="1"/>
  <c r="T34" i="1"/>
  <c r="U34" i="1"/>
  <c r="V34" i="1"/>
  <c r="M35" i="1"/>
  <c r="N35" i="1"/>
  <c r="O35" i="1"/>
  <c r="P35" i="1"/>
  <c r="Q35" i="1"/>
  <c r="R35" i="1"/>
  <c r="S35" i="1"/>
  <c r="T35" i="1"/>
  <c r="U35" i="1"/>
  <c r="V35" i="1"/>
  <c r="M36" i="1"/>
  <c r="N36" i="1"/>
  <c r="O36" i="1"/>
  <c r="P36" i="1"/>
  <c r="Q36" i="1"/>
  <c r="R36" i="1"/>
  <c r="S36" i="1"/>
  <c r="T36" i="1"/>
  <c r="U36" i="1"/>
  <c r="V36" i="1"/>
  <c r="M37" i="1"/>
  <c r="N37" i="1"/>
  <c r="O37" i="1"/>
  <c r="P37" i="1"/>
  <c r="Q37" i="1"/>
  <c r="R37" i="1"/>
  <c r="S37" i="1"/>
  <c r="T37" i="1"/>
  <c r="U37" i="1"/>
  <c r="V37" i="1"/>
  <c r="M38" i="1"/>
  <c r="N38" i="1"/>
  <c r="O38" i="1"/>
  <c r="P38" i="1"/>
  <c r="Q38" i="1"/>
  <c r="R38" i="1"/>
  <c r="S38" i="1"/>
  <c r="T38" i="1"/>
  <c r="U38" i="1"/>
  <c r="V38" i="1"/>
  <c r="M39" i="1"/>
  <c r="N39" i="1"/>
  <c r="O39" i="1"/>
  <c r="P39" i="1"/>
  <c r="Q39" i="1"/>
  <c r="R39" i="1"/>
  <c r="S39" i="1"/>
  <c r="T39" i="1"/>
  <c r="U39" i="1"/>
  <c r="V39" i="1"/>
  <c r="M40" i="1"/>
  <c r="N40" i="1"/>
  <c r="O40" i="1"/>
  <c r="P40" i="1"/>
  <c r="Q40" i="1"/>
  <c r="R40" i="1"/>
  <c r="S40" i="1"/>
  <c r="T40" i="1"/>
  <c r="U40" i="1"/>
  <c r="V40" i="1"/>
  <c r="M41" i="1"/>
  <c r="N41" i="1"/>
  <c r="O41" i="1"/>
  <c r="P41" i="1"/>
  <c r="Q41" i="1"/>
  <c r="R41" i="1"/>
  <c r="S41" i="1"/>
  <c r="T41" i="1"/>
  <c r="U41" i="1"/>
  <c r="V41" i="1"/>
  <c r="M42" i="1"/>
  <c r="N42" i="1"/>
  <c r="O42" i="1"/>
  <c r="P42" i="1"/>
  <c r="Q42" i="1"/>
  <c r="R42" i="1"/>
  <c r="S42" i="1"/>
  <c r="T42" i="1"/>
  <c r="U42" i="1"/>
  <c r="V42" i="1"/>
  <c r="M43" i="1"/>
  <c r="N43" i="1"/>
  <c r="O43" i="1"/>
  <c r="P43" i="1"/>
  <c r="Q43" i="1"/>
  <c r="R43" i="1"/>
  <c r="S43" i="1"/>
  <c r="T43" i="1"/>
  <c r="U43" i="1"/>
  <c r="V43" i="1"/>
  <c r="M44" i="1"/>
  <c r="N44" i="1"/>
  <c r="O44" i="1"/>
  <c r="P44" i="1"/>
  <c r="Q44" i="1"/>
  <c r="R44" i="1"/>
  <c r="S44" i="1"/>
  <c r="T44" i="1"/>
  <c r="U44" i="1"/>
  <c r="V44" i="1"/>
  <c r="M45" i="1"/>
  <c r="N45" i="1"/>
  <c r="O45" i="1"/>
  <c r="P45" i="1"/>
  <c r="Q45" i="1"/>
  <c r="R45" i="1"/>
  <c r="S45" i="1"/>
  <c r="T45" i="1"/>
  <c r="U45" i="1"/>
  <c r="V45" i="1"/>
  <c r="M46" i="1"/>
  <c r="N46" i="1"/>
  <c r="O46" i="1"/>
  <c r="P46" i="1"/>
  <c r="Q46" i="1"/>
  <c r="R46" i="1"/>
  <c r="S46" i="1"/>
  <c r="T46" i="1"/>
  <c r="U46" i="1"/>
  <c r="V46" i="1"/>
  <c r="M47" i="1"/>
  <c r="N47" i="1"/>
  <c r="O47" i="1"/>
  <c r="P47" i="1"/>
  <c r="Q47" i="1"/>
  <c r="R47" i="1"/>
  <c r="S47" i="1"/>
  <c r="T47" i="1"/>
  <c r="U47" i="1"/>
  <c r="V47" i="1"/>
  <c r="M48" i="1"/>
  <c r="N48" i="1"/>
  <c r="O48" i="1"/>
  <c r="P48" i="1"/>
  <c r="Q48" i="1"/>
  <c r="R48" i="1"/>
  <c r="S48" i="1"/>
  <c r="T48" i="1"/>
  <c r="U48" i="1"/>
  <c r="V48" i="1"/>
  <c r="M49" i="1"/>
  <c r="N49" i="1"/>
  <c r="O49" i="1"/>
  <c r="P49" i="1"/>
  <c r="Q49" i="1"/>
  <c r="R49" i="1"/>
  <c r="S49" i="1"/>
  <c r="T49" i="1"/>
  <c r="U49" i="1"/>
  <c r="V49" i="1"/>
  <c r="M50" i="1"/>
  <c r="N50" i="1"/>
  <c r="O50" i="1"/>
  <c r="P50" i="1"/>
  <c r="Q50" i="1"/>
  <c r="R50" i="1"/>
  <c r="S50" i="1"/>
  <c r="T50" i="1"/>
  <c r="U50" i="1"/>
  <c r="V50" i="1"/>
  <c r="M51" i="1"/>
  <c r="N51" i="1"/>
  <c r="O51" i="1"/>
  <c r="P51" i="1"/>
  <c r="Q51" i="1"/>
  <c r="R51" i="1"/>
  <c r="S51" i="1"/>
  <c r="T51" i="1"/>
  <c r="U51" i="1"/>
  <c r="V51" i="1"/>
  <c r="M52" i="1"/>
  <c r="N52" i="1"/>
  <c r="O52" i="1"/>
  <c r="P52" i="1"/>
  <c r="Q52" i="1"/>
  <c r="R52" i="1"/>
  <c r="S52" i="1"/>
  <c r="T52" i="1"/>
  <c r="U52" i="1"/>
  <c r="V52" i="1"/>
  <c r="M53" i="1"/>
  <c r="N53" i="1"/>
  <c r="O53" i="1"/>
  <c r="P53" i="1"/>
  <c r="Q53" i="1"/>
  <c r="R53" i="1"/>
  <c r="S53" i="1"/>
  <c r="T53" i="1"/>
  <c r="U53" i="1"/>
  <c r="V53" i="1"/>
  <c r="M54" i="1"/>
  <c r="N54" i="1"/>
  <c r="O54" i="1"/>
  <c r="P54" i="1"/>
  <c r="Q54" i="1"/>
  <c r="R54" i="1"/>
  <c r="S54" i="1"/>
  <c r="T54" i="1"/>
  <c r="U54" i="1"/>
  <c r="V54" i="1"/>
  <c r="M55" i="1"/>
  <c r="N55" i="1"/>
  <c r="O55" i="1"/>
  <c r="P55" i="1"/>
  <c r="Q55" i="1"/>
  <c r="R55" i="1"/>
  <c r="S55" i="1"/>
  <c r="T55" i="1"/>
  <c r="U55" i="1"/>
  <c r="V55" i="1"/>
  <c r="M56" i="1"/>
  <c r="N56" i="1"/>
  <c r="O56" i="1"/>
  <c r="P56" i="1"/>
  <c r="Q56" i="1"/>
  <c r="R56" i="1"/>
  <c r="S56" i="1"/>
  <c r="T56" i="1"/>
  <c r="U56" i="1"/>
  <c r="V56" i="1"/>
  <c r="M57" i="1"/>
  <c r="N57" i="1"/>
  <c r="O57" i="1"/>
  <c r="P57" i="1"/>
  <c r="Q57" i="1"/>
  <c r="R57" i="1"/>
  <c r="S57" i="1"/>
  <c r="T57" i="1"/>
  <c r="U57" i="1"/>
  <c r="V57" i="1"/>
  <c r="M58" i="1"/>
  <c r="N58" i="1"/>
  <c r="O58" i="1"/>
  <c r="P58" i="1"/>
  <c r="Q58" i="1"/>
  <c r="R58" i="1"/>
  <c r="S58" i="1"/>
  <c r="T58" i="1"/>
  <c r="U58" i="1"/>
  <c r="V58" i="1"/>
  <c r="M59" i="1"/>
  <c r="N59" i="1"/>
  <c r="O59" i="1"/>
  <c r="P59" i="1"/>
  <c r="Q59" i="1"/>
  <c r="R59" i="1"/>
  <c r="S59" i="1"/>
  <c r="T59" i="1"/>
  <c r="U59" i="1"/>
  <c r="V59" i="1"/>
  <c r="M60" i="1"/>
  <c r="N60" i="1"/>
  <c r="O60" i="1"/>
  <c r="P60" i="1"/>
  <c r="Q60" i="1"/>
  <c r="R60" i="1"/>
  <c r="S60" i="1"/>
  <c r="T60" i="1"/>
  <c r="U60" i="1"/>
  <c r="V60" i="1"/>
  <c r="M61" i="1"/>
  <c r="N61" i="1"/>
  <c r="O61" i="1"/>
  <c r="P61" i="1"/>
  <c r="Q61" i="1"/>
  <c r="R61" i="1"/>
  <c r="S61" i="1"/>
  <c r="T61" i="1"/>
  <c r="U61" i="1"/>
  <c r="V61" i="1"/>
  <c r="M62" i="1"/>
  <c r="N62" i="1"/>
  <c r="O62" i="1"/>
  <c r="P62" i="1"/>
  <c r="Q62" i="1"/>
  <c r="R62" i="1"/>
  <c r="S62" i="1"/>
  <c r="T62" i="1"/>
  <c r="U62" i="1"/>
  <c r="V62" i="1"/>
  <c r="M63" i="1"/>
  <c r="N63" i="1"/>
  <c r="O63" i="1"/>
  <c r="P63" i="1"/>
  <c r="Q63" i="1"/>
  <c r="R63" i="1"/>
  <c r="S63" i="1"/>
  <c r="T63" i="1"/>
  <c r="U63" i="1"/>
  <c r="V63" i="1"/>
  <c r="M64" i="1"/>
  <c r="N64" i="1"/>
  <c r="O64" i="1"/>
  <c r="P64" i="1"/>
  <c r="Q64" i="1"/>
  <c r="R64" i="1"/>
  <c r="S64" i="1"/>
  <c r="T64" i="1"/>
  <c r="U64" i="1"/>
  <c r="V64" i="1"/>
  <c r="M65" i="1"/>
  <c r="N65" i="1"/>
  <c r="O65" i="1"/>
  <c r="P65" i="1"/>
  <c r="Q65" i="1"/>
  <c r="R65" i="1"/>
  <c r="S65" i="1"/>
  <c r="T65" i="1"/>
  <c r="U65" i="1"/>
  <c r="V65" i="1"/>
  <c r="M66" i="1"/>
  <c r="N66" i="1"/>
  <c r="O66" i="1"/>
  <c r="P66" i="1"/>
  <c r="Q66" i="1"/>
  <c r="R66" i="1"/>
  <c r="S66" i="1"/>
  <c r="T66" i="1"/>
  <c r="U66" i="1"/>
  <c r="V66" i="1"/>
  <c r="M67" i="1"/>
  <c r="N67" i="1"/>
  <c r="O67" i="1"/>
  <c r="P67" i="1"/>
  <c r="Q67" i="1"/>
  <c r="R67" i="1"/>
  <c r="S67" i="1"/>
  <c r="T67" i="1"/>
  <c r="U67" i="1"/>
  <c r="V67" i="1"/>
  <c r="M68" i="1"/>
  <c r="N68" i="1"/>
  <c r="O68" i="1"/>
  <c r="P68" i="1"/>
  <c r="Q68" i="1"/>
  <c r="R68" i="1"/>
  <c r="S68" i="1"/>
  <c r="T68" i="1"/>
  <c r="U68" i="1"/>
  <c r="V68" i="1"/>
  <c r="M69" i="1"/>
  <c r="N69" i="1"/>
  <c r="O69" i="1"/>
  <c r="P69" i="1"/>
  <c r="Q69" i="1"/>
  <c r="R69" i="1"/>
  <c r="S69" i="1"/>
  <c r="T69" i="1"/>
  <c r="U69" i="1"/>
  <c r="V69" i="1"/>
  <c r="M70" i="1"/>
  <c r="N70" i="1"/>
  <c r="O70" i="1"/>
  <c r="P70" i="1"/>
  <c r="Q70" i="1"/>
  <c r="R70" i="1"/>
  <c r="S70" i="1"/>
  <c r="T70" i="1"/>
  <c r="U70" i="1"/>
  <c r="V70" i="1"/>
  <c r="M71" i="1"/>
  <c r="N71" i="1"/>
  <c r="O71" i="1"/>
  <c r="P71" i="1"/>
  <c r="Q71" i="1"/>
  <c r="R71" i="1"/>
  <c r="S71" i="1"/>
  <c r="T71" i="1"/>
  <c r="U71" i="1"/>
  <c r="V71" i="1"/>
  <c r="M72" i="1"/>
  <c r="N72" i="1"/>
  <c r="O72" i="1"/>
  <c r="P72" i="1"/>
  <c r="Q72" i="1"/>
  <c r="R72" i="1"/>
  <c r="S72" i="1"/>
  <c r="T72" i="1"/>
  <c r="U72" i="1"/>
  <c r="V72" i="1"/>
  <c r="M73" i="1"/>
  <c r="N73" i="1"/>
  <c r="O73" i="1"/>
  <c r="P73" i="1"/>
  <c r="Q73" i="1"/>
  <c r="R73" i="1"/>
  <c r="S73" i="1"/>
  <c r="T73" i="1"/>
  <c r="U73" i="1"/>
  <c r="V73" i="1"/>
  <c r="M74" i="1"/>
  <c r="N74" i="1"/>
  <c r="O74" i="1"/>
  <c r="P74" i="1"/>
  <c r="Q74" i="1"/>
  <c r="R74" i="1"/>
  <c r="S74" i="1"/>
  <c r="T74" i="1"/>
  <c r="U74" i="1"/>
  <c r="V74" i="1"/>
  <c r="M75" i="1"/>
  <c r="N75" i="1"/>
  <c r="O75" i="1"/>
  <c r="P75" i="1"/>
  <c r="Q75" i="1"/>
  <c r="R75" i="1"/>
  <c r="S75" i="1"/>
  <c r="T75" i="1"/>
  <c r="U75" i="1"/>
  <c r="V75" i="1"/>
  <c r="M76" i="1"/>
  <c r="N76" i="1"/>
  <c r="O76" i="1"/>
  <c r="P76" i="1"/>
  <c r="Q76" i="1"/>
  <c r="R76" i="1"/>
  <c r="S76" i="1"/>
  <c r="T76" i="1"/>
  <c r="U76" i="1"/>
  <c r="V76" i="1"/>
  <c r="M77" i="1"/>
  <c r="N77" i="1"/>
  <c r="O77" i="1"/>
  <c r="P77" i="1"/>
  <c r="Q77" i="1"/>
  <c r="R77" i="1"/>
  <c r="S77" i="1"/>
  <c r="T77" i="1"/>
  <c r="U77" i="1"/>
  <c r="V77" i="1"/>
  <c r="M78" i="1"/>
  <c r="N78" i="1"/>
  <c r="O78" i="1"/>
  <c r="P78" i="1"/>
  <c r="Q78" i="1"/>
  <c r="R78" i="1"/>
  <c r="S78" i="1"/>
  <c r="T78" i="1"/>
  <c r="U78" i="1"/>
  <c r="V78" i="1"/>
  <c r="M79" i="1"/>
  <c r="N79" i="1"/>
  <c r="O79" i="1"/>
  <c r="P79" i="1"/>
  <c r="Q79" i="1"/>
  <c r="R79" i="1"/>
  <c r="S79" i="1"/>
  <c r="T79" i="1"/>
  <c r="U79" i="1"/>
  <c r="V79" i="1"/>
  <c r="M80" i="1"/>
  <c r="N80" i="1"/>
  <c r="O80" i="1"/>
  <c r="P80" i="1"/>
  <c r="Q80" i="1"/>
  <c r="R80" i="1"/>
  <c r="S80" i="1"/>
  <c r="T80" i="1"/>
  <c r="U80" i="1"/>
  <c r="V80" i="1"/>
  <c r="M81" i="1"/>
  <c r="N81" i="1"/>
  <c r="O81" i="1"/>
  <c r="P81" i="1"/>
  <c r="Q81" i="1"/>
  <c r="R81" i="1"/>
  <c r="S81" i="1"/>
  <c r="T81" i="1"/>
  <c r="U81" i="1"/>
  <c r="V81" i="1"/>
  <c r="M82" i="1"/>
  <c r="N82" i="1"/>
  <c r="O82" i="1"/>
  <c r="P82" i="1"/>
  <c r="Q82" i="1"/>
  <c r="R82" i="1"/>
  <c r="S82" i="1"/>
  <c r="T82" i="1"/>
  <c r="U82" i="1"/>
  <c r="V82" i="1"/>
  <c r="M83" i="1"/>
  <c r="N83" i="1"/>
  <c r="O83" i="1"/>
  <c r="P83" i="1"/>
  <c r="Q83" i="1"/>
  <c r="R83" i="1"/>
  <c r="S83" i="1"/>
  <c r="T83" i="1"/>
  <c r="U83" i="1"/>
  <c r="V83" i="1"/>
  <c r="M84" i="1"/>
  <c r="N84" i="1"/>
  <c r="O84" i="1"/>
  <c r="P84" i="1"/>
  <c r="Q84" i="1"/>
  <c r="R84" i="1"/>
  <c r="S84" i="1"/>
  <c r="T84" i="1"/>
  <c r="U84" i="1"/>
  <c r="V84" i="1"/>
  <c r="M85" i="1"/>
  <c r="N85" i="1"/>
  <c r="O85" i="1"/>
  <c r="P85" i="1"/>
  <c r="Q85" i="1"/>
  <c r="R85" i="1"/>
  <c r="S85" i="1"/>
  <c r="T85" i="1"/>
  <c r="U85" i="1"/>
  <c r="V85" i="1"/>
  <c r="M86" i="1"/>
  <c r="N86" i="1"/>
  <c r="O86" i="1"/>
  <c r="P86" i="1"/>
  <c r="Q86" i="1"/>
  <c r="R86" i="1"/>
  <c r="S86" i="1"/>
  <c r="T86" i="1"/>
  <c r="U86" i="1"/>
  <c r="V86" i="1"/>
  <c r="M87" i="1"/>
  <c r="N87" i="1"/>
  <c r="O87" i="1"/>
  <c r="P87" i="1"/>
  <c r="Q87" i="1"/>
  <c r="R87" i="1"/>
  <c r="S87" i="1"/>
  <c r="T87" i="1"/>
  <c r="U87" i="1"/>
  <c r="V87" i="1"/>
  <c r="N5" i="1"/>
  <c r="O5" i="1"/>
  <c r="P5" i="1"/>
  <c r="Q5" i="1"/>
  <c r="R5" i="1"/>
  <c r="S5" i="1"/>
  <c r="T5" i="1"/>
  <c r="U5" i="1"/>
  <c r="V5" i="1"/>
  <c r="M5" i="1"/>
  <c r="AO27" i="1"/>
  <c r="L22" i="4" a="1"/>
  <c r="L22" i="4" s="1"/>
  <c r="M22" i="4" s="1"/>
  <c r="A19" i="7"/>
  <c r="B22" i="6"/>
  <c r="A22" i="4"/>
  <c r="A12" i="4"/>
  <c r="A11" i="4"/>
  <c r="A10" i="4"/>
  <c r="A9" i="4"/>
  <c r="A8" i="4"/>
  <c r="A7" i="4"/>
  <c r="A6" i="4"/>
  <c r="A5" i="4"/>
  <c r="A4" i="4"/>
  <c r="A3" i="4"/>
  <c r="E47" i="2"/>
  <c r="E46" i="2"/>
  <c r="F46" i="2" s="1"/>
  <c r="E45" i="2"/>
  <c r="E44" i="2"/>
  <c r="A22" i="2"/>
  <c r="N49" i="2" l="1"/>
  <c r="N46" i="2"/>
  <c r="F45" i="2"/>
  <c r="G45" i="2" s="1"/>
  <c r="F47" i="2"/>
  <c r="G47" i="2" s="1"/>
  <c r="N50" i="2"/>
  <c r="B13" i="4"/>
  <c r="N38" i="4" s="1"/>
  <c r="H46" i="2"/>
  <c r="G46" i="2"/>
  <c r="F44" i="2"/>
  <c r="N44" i="2"/>
  <c r="M43" i="7"/>
  <c r="M44" i="7"/>
  <c r="M45" i="7"/>
  <c r="M46" i="7"/>
  <c r="M47" i="7"/>
  <c r="M48" i="7"/>
  <c r="M42" i="7"/>
  <c r="M38" i="7"/>
  <c r="O40" i="6"/>
  <c r="AA3" i="7"/>
  <c r="AH20" i="1"/>
  <c r="AH12" i="1"/>
  <c r="AB11" i="1"/>
  <c r="U4" i="2" s="1"/>
  <c r="AD11" i="1"/>
  <c r="W4" i="2" s="1"/>
  <c r="AA11" i="1"/>
  <c r="T4" i="2" s="1"/>
  <c r="AC11" i="1"/>
  <c r="AE11" i="1"/>
  <c r="X4" i="2" s="1"/>
  <c r="Y11" i="1"/>
  <c r="AH26" i="1"/>
  <c r="Y26" i="1"/>
  <c r="AF26" i="1"/>
  <c r="AG26" i="1"/>
  <c r="AF11" i="1"/>
  <c r="Y4" i="2" s="1"/>
  <c r="AG11" i="1"/>
  <c r="Z4" i="2" s="1"/>
  <c r="AA12" i="1"/>
  <c r="T5" i="2" s="1"/>
  <c r="Z27" i="1"/>
  <c r="AB12" i="1"/>
  <c r="AC13" i="1"/>
  <c r="V6" i="2" s="1"/>
  <c r="AF13" i="1"/>
  <c r="Y6" i="2" s="1"/>
  <c r="AG13" i="1"/>
  <c r="Z6" i="2" s="1"/>
  <c r="AA13" i="1"/>
  <c r="T6" i="2" s="1"/>
  <c r="AB13" i="1"/>
  <c r="AH13" i="1"/>
  <c r="AE13" i="1"/>
  <c r="X6" i="2" s="1"/>
  <c r="AD13" i="1"/>
  <c r="W6" i="2" s="1"/>
  <c r="AD14" i="1"/>
  <c r="W7" i="2" s="1"/>
  <c r="AF14" i="1"/>
  <c r="Y7" i="2" s="1"/>
  <c r="AG14" i="1"/>
  <c r="Z7" i="2" s="1"/>
  <c r="AE14" i="1"/>
  <c r="X7" i="2" s="1"/>
  <c r="AH14" i="1"/>
  <c r="AC14" i="1"/>
  <c r="AB14" i="1"/>
  <c r="U7" i="2" s="1"/>
  <c r="AC12" i="1"/>
  <c r="V5" i="2" s="1"/>
  <c r="AC15" i="1"/>
  <c r="V8" i="2" s="1"/>
  <c r="AE15" i="1"/>
  <c r="X8" i="2" s="1"/>
  <c r="AF15" i="1"/>
  <c r="Y8" i="2" s="1"/>
  <c r="AH15" i="1"/>
  <c r="AD15" i="1"/>
  <c r="AG15" i="1"/>
  <c r="Z8" i="2" s="1"/>
  <c r="AD12" i="1"/>
  <c r="W5" i="2" s="1"/>
  <c r="AH16" i="1"/>
  <c r="AG16" i="1"/>
  <c r="Z9" i="2" s="1"/>
  <c r="AF16" i="1"/>
  <c r="Y9" i="2" s="1"/>
  <c r="AD16" i="1"/>
  <c r="W9" i="2" s="1"/>
  <c r="AF18" i="1"/>
  <c r="Y11" i="2" s="1"/>
  <c r="AG18" i="1"/>
  <c r="AH18" i="1"/>
  <c r="AG12" i="1"/>
  <c r="Z5" i="2" s="1"/>
  <c r="AG19" i="1"/>
  <c r="Z12" i="2" s="1"/>
  <c r="AH19" i="1"/>
  <c r="AE12" i="1"/>
  <c r="X5" i="2" s="1"/>
  <c r="Z12" i="1"/>
  <c r="S5" i="2" s="1"/>
  <c r="AF12" i="1"/>
  <c r="Y5" i="2" s="1"/>
  <c r="AA27" i="1"/>
  <c r="AB27" i="1"/>
  <c r="AA28" i="1"/>
  <c r="AC28" i="1"/>
  <c r="AG28" i="1"/>
  <c r="AE28" i="1"/>
  <c r="AF28" i="1"/>
  <c r="AB28" i="1"/>
  <c r="AH28" i="1"/>
  <c r="AD28" i="1"/>
  <c r="AG29" i="1"/>
  <c r="AB29" i="1"/>
  <c r="AF29" i="1"/>
  <c r="AH29" i="1"/>
  <c r="AD29" i="1"/>
  <c r="AC29" i="1"/>
  <c r="AE29" i="1"/>
  <c r="AD30" i="1"/>
  <c r="AF30" i="1"/>
  <c r="AH30" i="1"/>
  <c r="AC27" i="1"/>
  <c r="AC30" i="1"/>
  <c r="AG30" i="1"/>
  <c r="AE30" i="1"/>
  <c r="AE16" i="1"/>
  <c r="AD27" i="1"/>
  <c r="AH31" i="1"/>
  <c r="AG31" i="1"/>
  <c r="AF31" i="1"/>
  <c r="AE31" i="1"/>
  <c r="AD31" i="1"/>
  <c r="AE17" i="1"/>
  <c r="X10" i="2" s="1"/>
  <c r="AF17" i="1"/>
  <c r="AE27" i="1"/>
  <c r="AE32" i="1"/>
  <c r="AG17" i="1"/>
  <c r="Z10" i="2" s="1"/>
  <c r="AH17" i="1"/>
  <c r="AH32" i="1"/>
  <c r="AG32" i="1"/>
  <c r="AF32" i="1"/>
  <c r="AG33" i="1"/>
  <c r="AH33" i="1"/>
  <c r="AF33" i="1"/>
  <c r="AF27" i="1"/>
  <c r="AH34" i="1"/>
  <c r="AG34" i="1"/>
  <c r="AG27" i="1"/>
  <c r="AH27" i="1"/>
  <c r="AH35" i="1"/>
  <c r="Z26" i="1"/>
  <c r="AB26" i="1"/>
  <c r="AD26" i="1"/>
  <c r="AA26" i="1"/>
  <c r="AC26" i="1"/>
  <c r="AE26" i="1"/>
  <c r="Z11" i="1"/>
  <c r="S4" i="2" s="1"/>
  <c r="U5" i="2"/>
  <c r="U6" i="2"/>
  <c r="V7" i="2"/>
  <c r="W8" i="2"/>
  <c r="X9" i="2"/>
  <c r="Y10" i="2"/>
  <c r="Z11" i="2"/>
  <c r="V4" i="2"/>
  <c r="Z4" i="1"/>
  <c r="Z5" i="1" s="1"/>
  <c r="Z6" i="1"/>
  <c r="Z7" i="1" s="1"/>
  <c r="AA4" i="1"/>
  <c r="AA5" i="1" s="1"/>
  <c r="AA6" i="1"/>
  <c r="AA7" i="1" s="1"/>
  <c r="AB4" i="1"/>
  <c r="AB5" i="1" s="1"/>
  <c r="AB6" i="1"/>
  <c r="AB7" i="1" s="1"/>
  <c r="AC4" i="1"/>
  <c r="AC5" i="1" s="1"/>
  <c r="AC6" i="1"/>
  <c r="AC7" i="1" s="1"/>
  <c r="AD6" i="1"/>
  <c r="AD7" i="1" s="1"/>
  <c r="AD4" i="1"/>
  <c r="AD5" i="1" s="1"/>
  <c r="AE6" i="1"/>
  <c r="AE7" i="1" s="1"/>
  <c r="AE4" i="1"/>
  <c r="AE5" i="1" s="1"/>
  <c r="AF6" i="1"/>
  <c r="AF7" i="1" s="1"/>
  <c r="AF4" i="1"/>
  <c r="AF5" i="1" s="1"/>
  <c r="AG6" i="1"/>
  <c r="AG7" i="1" s="1"/>
  <c r="AG4" i="1"/>
  <c r="AG5" i="1" s="1"/>
  <c r="AH6" i="1"/>
  <c r="AH7" i="1" s="1"/>
  <c r="AH4" i="1"/>
  <c r="AH5" i="1" s="1"/>
  <c r="AH11" i="1"/>
  <c r="Y6" i="1"/>
  <c r="Y7" i="1" s="1"/>
  <c r="Y4" i="1"/>
  <c r="Y5" i="1" s="1"/>
  <c r="N40" i="2"/>
  <c r="H45" i="2" l="1"/>
  <c r="H47" i="2"/>
  <c r="H44" i="2"/>
  <c r="G44" i="2"/>
  <c r="R4" i="2"/>
  <c r="Y12" i="1" a="1"/>
  <c r="AA4" i="2"/>
  <c r="A13" i="2"/>
  <c r="A12" i="2"/>
  <c r="A11" i="2"/>
  <c r="A10" i="2"/>
  <c r="A9" i="2"/>
  <c r="A8" i="2"/>
  <c r="A7" i="2"/>
  <c r="A6" i="2"/>
  <c r="A5" i="2"/>
  <c r="A4" i="2"/>
  <c r="Y12" i="1" l="1"/>
  <c r="R6" i="2"/>
  <c r="R7" i="2"/>
  <c r="R9" i="2"/>
  <c r="R12" i="2"/>
  <c r="R11" i="2"/>
  <c r="R8" i="2"/>
  <c r="R10" i="2"/>
  <c r="R13" i="2"/>
  <c r="R5" i="2" l="1"/>
  <c r="G5" i="2"/>
  <c r="N12" i="2"/>
  <c r="N7" i="2"/>
  <c r="O11" i="2"/>
  <c r="M9" i="2"/>
  <c r="I4" i="2"/>
  <c r="J5" i="2"/>
  <c r="L6" i="2"/>
  <c r="O7" i="2"/>
  <c r="N9" i="2"/>
  <c r="O12" i="2"/>
  <c r="J4" i="2"/>
  <c r="K5" i="2"/>
  <c r="M6" i="2"/>
  <c r="J8" i="2"/>
  <c r="O9" i="2"/>
  <c r="O13" i="2"/>
  <c r="K4" i="2"/>
  <c r="L5" i="2"/>
  <c r="N6" i="2"/>
  <c r="K8" i="2"/>
  <c r="L10" i="2"/>
  <c r="L4" i="2"/>
  <c r="M5" i="2"/>
  <c r="O6" i="2"/>
  <c r="L8" i="2"/>
  <c r="M10" i="2"/>
  <c r="M4" i="2"/>
  <c r="N5" i="2"/>
  <c r="I7" i="2"/>
  <c r="M8" i="2"/>
  <c r="N10" i="2"/>
  <c r="N4" i="2"/>
  <c r="O5" i="2"/>
  <c r="J7" i="2"/>
  <c r="N8" i="2"/>
  <c r="O10" i="2"/>
  <c r="AA13" i="2"/>
  <c r="O4" i="2"/>
  <c r="H6" i="2"/>
  <c r="K7" i="2"/>
  <c r="O8" i="2"/>
  <c r="M11" i="2"/>
  <c r="F4" i="2"/>
  <c r="I6" i="2"/>
  <c r="L7" i="2"/>
  <c r="K9" i="2"/>
  <c r="N11" i="2"/>
  <c r="G4" i="2"/>
  <c r="H5" i="2"/>
  <c r="J6" i="2"/>
  <c r="M7" i="2"/>
  <c r="L9" i="2"/>
  <c r="H4" i="2"/>
  <c r="I5" i="2"/>
  <c r="K6" i="2"/>
  <c r="F2" i="6" l="1" a="1"/>
  <c r="F2" i="6" s="1"/>
  <c r="E3" i="7" s="1" a="1"/>
  <c r="E3" i="7" s="1"/>
  <c r="AM9" i="6" a="1"/>
  <c r="AM9" i="6" s="1"/>
  <c r="AK11" i="6" s="1"/>
  <c r="AI3" i="6" a="1"/>
  <c r="AI3" i="6" s="1"/>
  <c r="AE7" i="6" s="1"/>
  <c r="AL6" i="6" a="1"/>
  <c r="AL6" i="6" s="1"/>
  <c r="AH10" i="6" s="1"/>
  <c r="AN5" i="6" a="1"/>
  <c r="AN5" i="6" s="1"/>
  <c r="AG12" i="6" s="1"/>
  <c r="AK7" i="6" a="1"/>
  <c r="AK7" i="6" s="1"/>
  <c r="AI9" i="6" s="1"/>
  <c r="AJ6" i="6" a="1"/>
  <c r="AJ6" i="6" s="1"/>
  <c r="AH8" i="6" s="1"/>
  <c r="AK4" i="6" a="1"/>
  <c r="AK4" i="6" s="1"/>
  <c r="AF9" i="6" s="1"/>
  <c r="AJ3" i="6" a="1"/>
  <c r="AJ3" i="6" s="1"/>
  <c r="AE8" i="6" s="1"/>
  <c r="AM6" i="6" a="1"/>
  <c r="AM6" i="6" s="1"/>
  <c r="AH11" i="6" s="1"/>
  <c r="AN11" i="6" a="1"/>
  <c r="AN11" i="6" s="1"/>
  <c r="AM12" i="6" s="1"/>
  <c r="AL5" i="6" a="1"/>
  <c r="AL5" i="6" s="1"/>
  <c r="AG10" i="6" s="1"/>
  <c r="AE3" i="6" a="1"/>
  <c r="AE3" i="6" s="1"/>
  <c r="AM4" i="6" a="1"/>
  <c r="AM4" i="6" s="1"/>
  <c r="AF11" i="6" s="1"/>
  <c r="AL10" i="6" a="1"/>
  <c r="AL10" i="6" s="1"/>
  <c r="AK9" i="6" a="1"/>
  <c r="AK9" i="6" s="1"/>
  <c r="AI4" i="6" a="1"/>
  <c r="AI4" i="6" s="1"/>
  <c r="AF7" i="6" s="1"/>
  <c r="AM5" i="6" a="1"/>
  <c r="AM5" i="6" s="1"/>
  <c r="AG11" i="6" s="1"/>
  <c r="AK5" i="6" a="1"/>
  <c r="AK5" i="6" s="1"/>
  <c r="AG9" i="6" s="1"/>
  <c r="AG4" i="6" a="1"/>
  <c r="AG4" i="6" s="1"/>
  <c r="AF5" i="6" s="1"/>
  <c r="AN8" i="6" a="1"/>
  <c r="AN8" i="6" s="1"/>
  <c r="AJ12" i="6" s="1"/>
  <c r="AH5" i="6" a="1"/>
  <c r="AH5" i="6" s="1"/>
  <c r="AG6" i="6" s="1"/>
  <c r="AM8" i="6" a="1"/>
  <c r="AM8" i="6" s="1"/>
  <c r="AJ11" i="6" s="1"/>
  <c r="AL8" i="6" a="1"/>
  <c r="AL8" i="6" s="1"/>
  <c r="AJ10" i="6" s="1"/>
  <c r="AN3" i="6" a="1"/>
  <c r="AN3" i="6" s="1"/>
  <c r="AE12" i="6" s="1"/>
  <c r="AM7" i="6" a="1"/>
  <c r="AM7" i="6" s="1"/>
  <c r="AI11" i="6" s="1"/>
  <c r="AN6" i="6" a="1"/>
  <c r="AN6" i="6" s="1"/>
  <c r="AH12" i="6" s="1"/>
  <c r="AJ4" i="6" a="1"/>
  <c r="AJ4" i="6" s="1"/>
  <c r="AF8" i="6" s="1"/>
  <c r="AF3" i="6" a="1"/>
  <c r="AF3" i="6" s="1"/>
  <c r="AE4" i="6" s="1"/>
  <c r="AI7" i="6" a="1"/>
  <c r="AI7" i="6" s="1"/>
  <c r="AJ5" i="6" a="1"/>
  <c r="AJ5" i="6" s="1"/>
  <c r="AG8" i="6" s="1"/>
  <c r="AL4" i="6" a="1"/>
  <c r="AL4" i="6" s="1"/>
  <c r="AF10" i="6" s="1"/>
  <c r="AK6" i="6" a="1"/>
  <c r="AK6" i="6" s="1"/>
  <c r="AH9" i="6" s="1"/>
  <c r="AJ7" i="6" a="1"/>
  <c r="AJ7" i="6" s="1"/>
  <c r="AI8" i="6" s="1"/>
  <c r="AH6" i="6" a="1"/>
  <c r="AH6" i="6" s="1"/>
  <c r="AH4" i="6" a="1"/>
  <c r="AH4" i="6" s="1"/>
  <c r="AF6" i="6" s="1"/>
  <c r="AH3" i="6" a="1"/>
  <c r="AH3" i="6" s="1"/>
  <c r="AE6" i="6" s="1"/>
  <c r="AM10" i="6" a="1"/>
  <c r="AM10" i="6" s="1"/>
  <c r="AL11" i="6" s="1"/>
  <c r="AA10" i="2"/>
  <c r="AE18" i="1" a="1"/>
  <c r="AA7" i="2"/>
  <c r="AB15" i="1" a="1"/>
  <c r="AA8" i="2"/>
  <c r="AC16" i="1" a="1"/>
  <c r="AA9" i="2"/>
  <c r="AD17" i="1" a="1"/>
  <c r="AA11" i="2"/>
  <c r="AF19" i="1" a="1"/>
  <c r="AA12" i="2"/>
  <c r="AG20" i="1"/>
  <c r="Z13" i="2" s="1"/>
  <c r="AA5" i="2"/>
  <c r="Z13" i="1" a="1"/>
  <c r="AA6" i="2"/>
  <c r="AA14" i="1" a="1"/>
  <c r="AK12" i="1"/>
  <c r="B9" i="2"/>
  <c r="B8" i="4"/>
  <c r="B7" i="4"/>
  <c r="B8" i="2"/>
  <c r="C8" i="4"/>
  <c r="C9" i="2"/>
  <c r="B9" i="4"/>
  <c r="B10" i="2"/>
  <c r="B12" i="4"/>
  <c r="B13" i="2"/>
  <c r="C8" i="2"/>
  <c r="C7" i="4"/>
  <c r="C10" i="2"/>
  <c r="C9" i="4"/>
  <c r="B6" i="4"/>
  <c r="B7" i="2"/>
  <c r="C7" i="2"/>
  <c r="C6" i="4"/>
  <c r="B10" i="4"/>
  <c r="B11" i="2"/>
  <c r="C11" i="2"/>
  <c r="C10" i="4"/>
  <c r="B11" i="4"/>
  <c r="B12" i="2"/>
  <c r="C12" i="4"/>
  <c r="C11" i="4"/>
  <c r="C12" i="2"/>
  <c r="C13" i="2"/>
  <c r="B3" i="4"/>
  <c r="C3" i="4"/>
  <c r="C4" i="2"/>
  <c r="B4" i="4"/>
  <c r="B5" i="2"/>
  <c r="C4" i="4"/>
  <c r="C5" i="2"/>
  <c r="B6" i="2"/>
  <c r="B5" i="4"/>
  <c r="C5" i="4"/>
  <c r="C6" i="2"/>
  <c r="AJ11" i="1"/>
  <c r="AN12" i="6" l="1" a="1"/>
  <c r="AN12" i="6" s="1"/>
  <c r="AL7" i="6" a="1"/>
  <c r="AL7" i="6" s="1"/>
  <c r="AI10" i="6" s="1"/>
  <c r="AN7" i="6" a="1"/>
  <c r="AN7" i="6" s="1"/>
  <c r="AI12" i="6" s="1"/>
  <c r="AN10" i="6" a="1"/>
  <c r="AN10" i="6" s="1"/>
  <c r="AL12" i="6" s="1"/>
  <c r="AN4" i="6" a="1"/>
  <c r="AN4" i="6" s="1"/>
  <c r="AF12" i="6" s="1"/>
  <c r="AJ8" i="6" a="1"/>
  <c r="AJ8" i="6" s="1"/>
  <c r="AK8" i="6" a="1"/>
  <c r="AK8" i="6" s="1"/>
  <c r="AJ9" i="6" s="1"/>
  <c r="AN9" i="6" a="1"/>
  <c r="AN9" i="6" s="1"/>
  <c r="AK12" i="6" s="1"/>
  <c r="AK3" i="6" a="1"/>
  <c r="AK3" i="6" s="1"/>
  <c r="AE9" i="6" s="1"/>
  <c r="AL3" i="6" a="1"/>
  <c r="AL3" i="6" s="1"/>
  <c r="AE10" i="6" s="1"/>
  <c r="AG5" i="6" a="1"/>
  <c r="AG5" i="6" s="1"/>
  <c r="AM3" i="6" a="1"/>
  <c r="AM3" i="6" s="1"/>
  <c r="AE11" i="6" s="1"/>
  <c r="AL9" i="6" a="1"/>
  <c r="AL9" i="6" s="1"/>
  <c r="AK10" i="6" s="1"/>
  <c r="AI6" i="6" a="1"/>
  <c r="AI6" i="6" s="1"/>
  <c r="AH7" i="6" s="1"/>
  <c r="AG3" i="6" a="1"/>
  <c r="AG3" i="6" s="1"/>
  <c r="AE5" i="6" s="1"/>
  <c r="AF4" i="6" a="1"/>
  <c r="AF4" i="6" s="1"/>
  <c r="AM11" i="6" a="1"/>
  <c r="AM11" i="6" s="1"/>
  <c r="AI5" i="6" a="1"/>
  <c r="AI5" i="6" s="1"/>
  <c r="AG7" i="6" s="1"/>
  <c r="AE18" i="1"/>
  <c r="X11" i="2" s="1"/>
  <c r="X12" i="2"/>
  <c r="X13" i="2"/>
  <c r="AB15" i="1"/>
  <c r="U8" i="2" s="1"/>
  <c r="U9" i="2"/>
  <c r="U10" i="2"/>
  <c r="U11" i="2"/>
  <c r="U12" i="2"/>
  <c r="U13" i="2"/>
  <c r="AC16" i="1"/>
  <c r="V9" i="2" s="1"/>
  <c r="V10" i="2"/>
  <c r="V11" i="2"/>
  <c r="V12" i="2"/>
  <c r="V13" i="2"/>
  <c r="AD17" i="1"/>
  <c r="W10" i="2" s="1"/>
  <c r="W11" i="2"/>
  <c r="W12" i="2"/>
  <c r="W13" i="2"/>
  <c r="AF19" i="1"/>
  <c r="Y12" i="2" s="1"/>
  <c r="Y13" i="2"/>
  <c r="Z13" i="1"/>
  <c r="S7" i="2"/>
  <c r="S8" i="2"/>
  <c r="S9" i="2"/>
  <c r="S10" i="2"/>
  <c r="S11" i="2"/>
  <c r="S12" i="2"/>
  <c r="S13" i="2"/>
  <c r="AA14" i="1"/>
  <c r="T7" i="2" s="1"/>
  <c r="T8" i="2"/>
  <c r="T9" i="2"/>
  <c r="T10" i="2"/>
  <c r="T11" i="2"/>
  <c r="T12" i="2"/>
  <c r="T13" i="2"/>
  <c r="O22" i="6" a="1"/>
  <c r="O22" i="6" s="1"/>
  <c r="N22" i="4" a="1"/>
  <c r="N22" i="4" s="1"/>
  <c r="P22" i="4" s="1"/>
  <c r="N22" i="2" a="1"/>
  <c r="N22" i="2" s="1"/>
  <c r="M19" i="7" a="1"/>
  <c r="M19" i="7" s="1"/>
  <c r="M22" i="6" l="1" a="1"/>
  <c r="M22" i="6" s="1"/>
  <c r="Y40" i="1" a="1"/>
  <c r="Y40" i="1" s="1"/>
  <c r="S6" i="2"/>
  <c r="AN15" i="1"/>
  <c r="AL13" i="1"/>
  <c r="AO16" i="1"/>
  <c r="AR19" i="1"/>
  <c r="AM14" i="1"/>
  <c r="AP17" i="1"/>
  <c r="AQ18" i="1"/>
  <c r="AS20" i="1"/>
  <c r="L22" i="2" l="1" a="1"/>
  <c r="L22" i="2" s="1"/>
  <c r="M22" i="2" s="1"/>
  <c r="P22" i="2" s="1"/>
  <c r="R2" i="6" a="1"/>
  <c r="R2" i="6" s="1"/>
  <c r="P3" i="7" s="1" a="1"/>
  <c r="N22" i="6"/>
  <c r="Q22" i="6" s="1"/>
  <c r="P3" i="7" l="1"/>
  <c r="K19" i="7" a="1"/>
  <c r="K19" i="7" s="1"/>
  <c r="L19" i="7" s="1"/>
  <c r="O19"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2D1C2D-9D0D-F54B-BBCE-590459C4A095}" name="SPY ETF Stock Price History (1)" type="6" refreshedVersion="8" background="1" saveData="1">
    <textPr codePage="65001" sourceFile="/Users/pranay.ath/Downloads/SPY ETF Stock Price History (1).csv" thousands=" " comma="1">
      <textFields count="7">
        <textField type="MDY"/>
        <textField/>
        <textField/>
        <textField/>
        <textField/>
        <textField/>
        <textField/>
      </textFields>
    </textP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<sst xmlns="http://schemas.openxmlformats.org/spreadsheetml/2006/main" count="403" uniqueCount="165">
  <si>
    <t>Date</t>
  </si>
  <si>
    <t>Prices</t>
  </si>
  <si>
    <t>SPY</t>
  </si>
  <si>
    <t>VNQ</t>
  </si>
  <si>
    <t>DBC</t>
  </si>
  <si>
    <t>Returns</t>
  </si>
  <si>
    <t>Statistics</t>
  </si>
  <si>
    <t>equiv. yearly return</t>
  </si>
  <si>
    <t>equiv. yearly volatility</t>
  </si>
  <si>
    <t>Correlations</t>
  </si>
  <si>
    <t>Sylvester's criterion</t>
  </si>
  <si>
    <t>Efficient Frontier (10 assets)</t>
  </si>
  <si>
    <t>Expected return</t>
  </si>
  <si>
    <t>Sharpe ratio</t>
  </si>
  <si>
    <t>Sum of weights</t>
  </si>
  <si>
    <t>w1</t>
  </si>
  <si>
    <t>w2</t>
  </si>
  <si>
    <t>w3</t>
  </si>
  <si>
    <t>w4</t>
  </si>
  <si>
    <t>w5</t>
  </si>
  <si>
    <t>w6</t>
  </si>
  <si>
    <t>w7</t>
  </si>
  <si>
    <t>w8</t>
  </si>
  <si>
    <t>w9</t>
  </si>
  <si>
    <t>w10</t>
  </si>
  <si>
    <t>variance</t>
  </si>
  <si>
    <t>volatility</t>
  </si>
  <si>
    <t>Asset</t>
  </si>
  <si>
    <t>Volatility</t>
  </si>
  <si>
    <t xml:space="preserve">Explanations </t>
  </si>
  <si>
    <t>Target Expected return</t>
  </si>
  <si>
    <t>PORTFOLIOS</t>
  </si>
  <si>
    <t>COMPUTATIONS using solver</t>
  </si>
  <si>
    <t>HIGHEST SHARPE RATIO = TANGENT PORTFOLIO</t>
  </si>
  <si>
    <t>GLOBAL MINIMUM VARIANCE PORTFOLIO</t>
  </si>
  <si>
    <t>Risk free asset</t>
  </si>
  <si>
    <t>Tangent portfolio</t>
  </si>
  <si>
    <t>Risk aversion</t>
  </si>
  <si>
    <t>expected return</t>
  </si>
  <si>
    <t>Capital Allocation Line</t>
  </si>
  <si>
    <t>Optimal portfolio for a certain investor</t>
  </si>
  <si>
    <t>Weight in the tangent portfolio</t>
  </si>
  <si>
    <t>PORTFOLIOS with no short sales allowed</t>
  </si>
  <si>
    <t>With short sales</t>
  </si>
  <si>
    <t>Without short sales</t>
  </si>
  <si>
    <t>CONCLUSION</t>
  </si>
  <si>
    <t>Volatility +2%</t>
  </si>
  <si>
    <t xml:space="preserve">PORTFOLIOS </t>
  </si>
  <si>
    <t>GMVP</t>
  </si>
  <si>
    <t>Efficient Frontier (9 assets, No SGLN)</t>
  </si>
  <si>
    <t>VGK</t>
  </si>
  <si>
    <t>VWO</t>
  </si>
  <si>
    <t>IEF</t>
  </si>
  <si>
    <t>LQD</t>
  </si>
  <si>
    <t>TIP</t>
  </si>
  <si>
    <t>GLD</t>
  </si>
  <si>
    <t>BTC</t>
  </si>
  <si>
    <t>Monthly return</t>
  </si>
  <si>
    <t>volatility of monthly returns</t>
  </si>
  <si>
    <t>Fama/French 3 Factors (Monthly)</t>
  </si>
  <si>
    <t>RF</t>
  </si>
  <si>
    <t>Average Monthly return</t>
  </si>
  <si>
    <t>Annualized Return</t>
  </si>
  <si>
    <t>Covariances of yearly returns</t>
  </si>
  <si>
    <t>Covariances of monthly returns</t>
  </si>
  <si>
    <t>alpha</t>
  </si>
  <si>
    <t>NEW Covariances of monthly returns</t>
  </si>
  <si>
    <t>GMVP +2%VOLA</t>
  </si>
  <si>
    <t>TANGENT PORTFOLIO</t>
  </si>
  <si>
    <t xml:space="preserve">Efficient Frontier </t>
  </si>
  <si>
    <t>Global Minimum Variance (GMV) Portfolio</t>
  </si>
  <si>
    <t xml:space="preserve">The efficient frontier represents the set of portfolios offering the highest expected return for a given level of risk, based on the estimated expected returns and covariance matrix of the selected assets. 												</t>
  </si>
  <si>
    <t xml:space="preserve">The frontier is upward-sloping and smooth, which confirms the internal consistency of the calculations and the positive-definiteness of the covariance matrix. Several portfolios were computed												</t>
  </si>
  <si>
    <t xml:space="preserve">along the frontier, allowing a clear visualization of the risk–return trade-off faced by investors.					</t>
  </si>
  <si>
    <t>The Global Minimum Variance portfolio corresponds to the portfolio with the lowest achievable volatility among all feasible combinations of assets. It highlights the diversification benefits arising from imperfect</t>
  </si>
  <si>
    <t>correlations between assets. Compared to individual assets, the GMV portfolio exhibits a significantly lower volatility, confirming the role of covariance in risk reduction.</t>
  </si>
  <si>
    <t>Tangency (Maximum Sharpe Ratio) Portfolio</t>
  </si>
  <si>
    <t>The tangency portfolio maximizes the Sharpe ratio and represents the optimal risky portfolio for a mean-variance investor in the presence of a risk-free asset. This portfolio lies on the efficient frontier and</t>
  </si>
  <si>
    <t>dominates all other risky portfolios in terms of risk-adjusted performance. It serves as the building block for optimal portfolios once investor preferences are introduced.</t>
  </si>
  <si>
    <t>Imposing a no-short-sales constraint modifies the shape of the efficient frontier. Compared to the unconstrained case, the constrained frontier is generally less efficient, as the restriction limits</t>
  </si>
  <si>
    <t>diversification possibilities. Some assets receive zero weights, indicating that they do not contribute optimally under the constraint.</t>
  </si>
  <si>
    <t>The constrained tangency portfolio differs from the unconstrained one, both in composition and performance. This highlights the economic cost of regulatory or institutional constraints and illustrates</t>
  </si>
  <si>
    <t>how investment restrictions can reduce achievable risk-adjusted returns.</t>
  </si>
  <si>
    <t>Increasing asset volatility by 2% leads to an outward shift of the efficient frontier in the risk dimension. For a given expected return, portfolio volatility is higher than in the base case. This confirms the sensitivity of</t>
  </si>
  <si>
    <t>portfolio outcomes to changes in input parameters.</t>
  </si>
  <si>
    <t>Expanding the investment universe to nine assets enhances diversification opportunities. The efficient frontier obtained with a larger asset set dominates the frontier based on fewer assets, particularly at lower</t>
  </si>
  <si>
    <t>levels of risk. This demonstrates the benefits of diversification when additional assets exhibit imperfect correlations.</t>
  </si>
  <si>
    <t>The GMV portfolio achieves lower volatility compared to the base case, and the overall efficient frontier becomes more favorable. These results confirm one of the key insights of modern portfolio theory:</t>
  </si>
  <si>
    <t>increasing the number of diversified assets can improve the risk–return profile of portfolios.</t>
  </si>
  <si>
    <t>1. Asset Selection and Economic Rationale</t>
  </si>
  <si>
    <t>SPY – US Equity Market</t>
  </si>
  <si>
    <t>SPY represents the US equity market and serves as a benchmark for developed market equities. It offers strong long-term growth potential but exhibits relatively high volatility, reflecting sensitivity to economic cycles,</t>
  </si>
  <si>
    <t xml:space="preserve"> from imperfect correlations across asset classes.</t>
  </si>
  <si>
    <t>The portfolio includes a diversified set of assets spanning equities, fixed income, real assets, commodities, and alternative investments. The objective is to capture different sources of return while benefiting</t>
  </si>
  <si>
    <t>monetary policy, and corporate earnings. SPY acts as a core growth asset in the portfolio.</t>
  </si>
  <si>
    <t>VGK – European Equity Market</t>
  </si>
  <si>
    <t>VGK provides exposure to developed European equities. Compared to SPY, VGK displays slightly lower expected returns and different cyclical dynamics, influenced by European monetary policy and regional economic</t>
  </si>
  <si>
    <t>conditions. Including VGK enhances geographical diversification and reduces dependence on a single equity market.</t>
  </si>
  <si>
    <t>VWO – Emerging Market Equities</t>
  </si>
  <si>
    <t>VWO captures exposure to emerging market economies. While expected returns are lower in the sample period, VWO exhibits different growth drivers and correlation patterns compared to developed markets. This</t>
  </si>
  <si>
    <t>asset introduces additional diversification benefits but comes with higher geopolitical and macroeconomic risk.</t>
  </si>
  <si>
    <t>2. Fixed Income Assets</t>
  </si>
  <si>
    <t>IEF – US Government Bonds</t>
  </si>
  <si>
    <t>IEF represents medium-term US Treasury bonds and is considered a low-risk asset. It shows low volatility and weak correlation with equities, making it a key stabilizing component of the portfolio. IEF performs particularly</t>
  </si>
  <si>
    <t>well during risk-off environments and economic slowdowns.</t>
  </si>
  <si>
    <t>LQD – Investment Grade Corporate Bonds</t>
  </si>
  <si>
    <t>LQD provides exposure to high-quality corporate debt. Compared to government bonds, LQD offers slightly higher expected returns but carries credit risk. Its moderate correlation with equities allows it to contribute</t>
  </si>
  <si>
    <t>to diversification while maintaining income stability.</t>
  </si>
  <si>
    <t>TIP – Inflation-Protected Bonds</t>
  </si>
  <si>
    <t>TIP represents US Treasury Inflation-Protected Securities. This asset protects purchasing power by adjusting for inflation. TIP has low volatility and low correlation with equities, making it particularly valuable</t>
  </si>
  <si>
    <t>during inflationary periods and helping to hedge real return risk.</t>
  </si>
  <si>
    <t>3. Real Assets and Alternatives</t>
  </si>
  <si>
    <t>VNQ – Real Estate (REITs)</t>
  </si>
  <si>
    <t>VNQ provides exposure to listed real estate. It combines equity-like return potential with sensitivity to interest rates and inflation. VNQ exhibits higher volatility than bonds but offers diversification benefits due to its</t>
  </si>
  <si>
    <t>different economic drivers, such as property values and rental income.</t>
  </si>
  <si>
    <t>GLD – Gold</t>
  </si>
  <si>
    <t>GLD represents gold, which is traditionally considered a hedge against inflation, currency depreciation, and financial market stress. Gold shows low correlation with equities and bonds, contributing significantly to</t>
  </si>
  <si>
    <t>portfolio diversification and downside protection.</t>
  </si>
  <si>
    <t>DBC – Broad Commodities</t>
  </si>
  <si>
    <t>DBC provides exposure to a diversified basket of commodities. Commodity returns are influenced by supply-demand dynamics, inflation, and global growth. DBC adds inflation protection and further diversification,</t>
  </si>
  <si>
    <t>particularly during periods of rising prices.</t>
  </si>
  <si>
    <t>BTC – Bitcoin</t>
  </si>
  <si>
    <t>BTC represents a high-risk, high-return alternative asset. It exhibits extremely high volatility and low to moderate correlation with traditional assets. While BTC increases overall portfolio risk, it also introduces potential</t>
  </si>
  <si>
    <t>for substantial return and diversification benefits due to its unique return drivers.</t>
  </si>
  <si>
    <t>4. Return and Volatility Characteristics</t>
  </si>
  <si>
    <t>Expected returns are computed as historical averages of monthly returns and annualized for comparison. The results highlight strong dispersion across assets:</t>
  </si>
  <si>
    <t>1. Equities (SPY, VGK, VWO) show moderate to high expected returns with significant volatility.</t>
  </si>
  <si>
    <t>2. Bonds (IEF, LQD, TIP) exhibit lower volatility and lower expected returns.</t>
  </si>
  <si>
    <t>3. Alternatives (GLD, DBC, BTC) display heterogeneous behavior, with BTC showing extremely high volatility.</t>
  </si>
  <si>
    <t>These differences justify the inclusion of multiple asset classes to construct efficient portfolios.</t>
  </si>
  <si>
    <t>5. Covariance and Correlation Structure</t>
  </si>
  <si>
    <t>The correlation matrix confirms economically intuitive relationships:</t>
  </si>
  <si>
    <t>1. High correlations among equity assets (SPY, VGK, VNQ).</t>
  </si>
  <si>
    <t>2. Low or negative correlations between equities and government bonds (IEF).</t>
  </si>
  <si>
    <t>3. Low correlations between traditional assets and gold (GLD).</t>
  </si>
  <si>
    <t>4. Moderate correlations between commodities and equities.</t>
  </si>
  <si>
    <t>5. Relatively low correlation between BTC and traditional assets, despite high volatility.</t>
  </si>
  <si>
    <t>The covariance matrix is positive definite, ensuring mathematically valid portfolio optimization and consistent risk measurement.</t>
  </si>
  <si>
    <t>6. Diversification Effects</t>
  </si>
  <si>
    <t>Due to imperfect correlations, portfolio volatility can be significantly reduced relative to individual asset volatilities. Assets such as IEF, TIP, GLD, and DBC play a crucial role in stabilizing the portfolio and improving</t>
  </si>
  <si>
    <t>the efficient frontier, especially at lower risk levels.</t>
  </si>
  <si>
    <t>7. Methodology and Consistency of Calculations</t>
  </si>
  <si>
    <t>All assets use:</t>
  </si>
  <si>
    <t>The same data frequency (monthly),</t>
  </si>
  <si>
    <t>The same observation period,</t>
  </si>
  <si>
    <t>Consistent return and volatility calculations.</t>
  </si>
  <si>
    <t>Portfolio returns are computed as weighted averages of individual asset returns. Portfolio volatility is calculated using the full covariance matrix, ensuring that cross-asset interactions are correctly accounted for.</t>
  </si>
  <si>
    <t>8. Economic Interpretation</t>
  </si>
  <si>
    <t>The selected asset set allows the portfolio to capture:</t>
  </si>
  <si>
    <t>Growth (equities),</t>
  </si>
  <si>
    <t>Stability (bonds),</t>
  </si>
  <si>
    <t>Inflation protection (TIP, GLD, DBC),</t>
  </si>
  <si>
    <t>Alternative return sources (BTC).</t>
  </si>
  <si>
    <t>This structure reflects realistic investor objectives and enables meaningful construction of efficient portfolios under different constraints and risk preferences.</t>
  </si>
  <si>
    <t>Risk Aversion / Investor’s Optimal Portfolio</t>
  </si>
  <si>
    <t>Introducing investor risk aversion allows us to determine the investor’s optimal portfolio, which is a combination of the risk-free asset and the tangency portfolio. As risk aversion increases, the allocation to</t>
  </si>
  <si>
    <t>the risk-free asset rises, leading to a lower expected return and lower portfolio volatility. Conversely, lower risk aversion results in a higher exposure to risky assets.</t>
  </si>
  <si>
    <t>This analysis confirms the theoretical prediction of mean-variance theory: investor preferences do not change the composition of the tangency portfolio itself, but only the proportion invested in it. The results</t>
  </si>
  <si>
    <t>are coherent with modern portfolio theory and illustrate the economic intuition behind risk-return trade-offs.</t>
  </si>
  <si>
    <t>Each point on the efficient frontier is obtained by minimizing portfolio variance subject to a target expected return and the constraint that portfolio weights sum to one.</t>
  </si>
  <si>
    <t>The no-short-sales constraint reduces diversification opportunities and therefore shifts the efficient frontier inward.</t>
  </si>
  <si>
    <t>This exercise underlines the importance of parameter estimation and robustness analysis in portfolio construction.</t>
  </si>
  <si>
    <t>Comparisons with the base case show that both the GMV and tangency portfolios are affected, with higher overall risk levels and potentially lower Sharpe ratios. Compared to the base case, portfolios now achieve the same return at a higher level of risk.</t>
  </si>
  <si>
    <t xml:space="preserve">Overall, the results are consistent with modern portfolio theory. Diversification across asset classes significantly improves the risk–return trade-off, while constraints and parameter changes illustrate </t>
  </si>
  <si>
    <t>the sensitivity of optimal portfolios to investor preferences and market assumptions.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</si>
</sst>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_-;\-* #,##0.00_-;_-* &quot;-&quot;??_-;_-@_-"/>
    <numFmt numFmtId="165" formatCode="0.0%"/>
    <numFmt numFmtId="166" formatCode="_-* #,##0.00\ _€_-;\-* #,##0.00\ _€_-;_-* &quot;-&quot;??\ _€_-;_-@_-"/>
    <numFmt numFmtId="167" formatCode="_-* #,##0.000\ _€_-;\-* #,##0.000\ _€_-;_-* &quot;-&quot;??\ _€_-;_-@_-"/>
    <numFmt numFmtId="168" formatCode="0.0000E+00"/>
    <numFmt numFmtId="169" formatCode="0.0000"/>
    <numFmt numFmtId="170" formatCode="0.000%"/>
    <numFmt numFmtId="171" formatCode="0.000000"/>
    <numFmt numFmtId="172" formatCode="0.00000%"/>
    <numFmt numFmtId="173" formatCode="0.0000%"/>
    <numFmt numFmtId="174" formatCode="0.00000000000000000%"/>
  </numFmts>
  <fonts count="36">
    <font>
      <sz val="12"/>
      <color theme="1"/>
      <name val="Aptos Narrow"/>
      <family val="2"/>
      <scheme val="minor"/>
    </font>
    <font>
      <sz val="12"/>
      <color theme="1"/>
      <name val="Aptos Narrow"/>
      <family val="2"/>
      <scheme val="minor"/>
    </font>
    <font>
      <b/>
      <sz val="11"/>
      <color theme="0"/>
      <name val="Aptos Narrow"/>
      <family val="2"/>
      <scheme val="minor"/>
    </font>
    <font>
      <b/>
      <sz val="11"/>
      <name val="Calibri"/>
      <family val="2"/>
    </font>
    <font>
      <sz val="10"/>
      <color rgb="FF000000"/>
      <name val="Helvetica Neue"/>
      <family val="2"/>
    </font>
    <font>
      <b/>
      <sz val="10"/>
      <color rgb="FF000000"/>
      <name val="Helvetica Neue"/>
      <family val="2"/>
    </font>
    <font>
      <b/>
      <sz val="11"/>
      <color theme="1"/>
      <name val="Aptos Narrow"/>
      <family val="2"/>
      <scheme val="minor"/>
    </font>
    <font>
      <b/>
      <sz val="11"/>
      <color theme="1"/>
      <name val="Calibri (Corps)"/>
    </font>
    <font>
      <sz val="11"/>
      <color theme="1"/>
      <name val="Calibri (Corps)"/>
    </font>
    <font>
      <sz val="8"/>
      <name val="Aptos Narrow"/>
      <family val="2"/>
      <scheme val="minor"/>
    </font>
    <font>
      <b/>
      <sz val="12"/>
      <color theme="1"/>
      <name val="Aptos Narrow"/>
      <family val="2"/>
      <scheme val="minor"/>
    </font>
    <font>
      <b/>
      <sz val="14"/>
      <color theme="1"/>
      <name val="Aptos Narrow"/>
      <family val="2"/>
      <scheme val="minor"/>
    </font>
    <font>
      <sz val="12"/>
      <color theme="1"/>
      <name val="Aptos Narrow"/>
      <family val="2"/>
      <scheme val="minor"/>
    </font>
    <font>
      <b/>
      <sz val="14"/>
      <color theme="0"/>
      <name val="Aptos Narrow"/>
      <family val="2"/>
      <scheme val="minor"/>
    </font>
    <font>
      <sz val="14"/>
      <color theme="0"/>
      <name val="Aptos Narrow"/>
      <family val="2"/>
      <scheme val="minor"/>
    </font>
    <font>
      <sz val="14"/>
      <color rgb="FF000000"/>
      <name val="Aptos Narrow"/>
      <family val="2"/>
      <scheme val="minor"/>
    </font>
    <font>
      <sz val="14"/>
      <color rgb="FF000000"/>
      <name val="-webkit-standard"/>
    </font>
    <font>
      <sz val="12"/>
      <color rgb="FF000000"/>
      <name val="Aptos Narrow"/>
      <family val="2"/>
      <scheme val="minor"/>
    </font>
    <font>
      <b/>
      <sz val="16"/>
      <color theme="1"/>
      <name val="Aptos Narrow"/>
      <family val="2"/>
      <scheme val="minor"/>
    </font>
    <font>
      <sz val="14"/>
      <color theme="1"/>
      <name val="Aptos Narrow"/>
      <family val="2"/>
      <scheme val="minor"/>
    </font>
    <font>
      <sz val="14"/>
      <color theme="0"/>
      <name val="Aptos Narrow"/>
      <family val="2"/>
      <scheme val="minor"/>
    </font>
    <font>
      <b/>
      <sz val="12"/>
      <color theme="1"/>
      <name val="Aptos Narrow"/>
      <scheme val="minor"/>
    </font>
    <font>
      <sz val="12"/>
      <color theme="1"/>
      <name val="Aptos Narrow"/>
      <scheme val="minor"/>
    </font>
    <font>
      <sz val="14"/>
      <color rgb="FF000000"/>
      <name val="Aptos Narrow"/>
      <scheme val="minor"/>
    </font>
    <font>
      <sz val="12"/>
      <color rgb="FF000000"/>
      <name val="Aptos Narrow"/>
      <scheme val="minor"/>
    </font>
    <font>
      <b/>
      <sz val="14"/>
      <color rgb="FF000000"/>
      <name val="Aptos Narrow"/>
      <scheme val="minor"/>
    </font>
    <font>
      <b/>
      <sz val="16"/>
      <color rgb="FF000000"/>
      <name val="Aptos Narrow (Body)"/>
    </font>
    <font>
      <b/>
      <sz val="16"/>
      <color theme="1"/>
      <name val="Aptos Narrow"/>
      <scheme val="minor"/>
    </font>
    <font>
      <sz val="14"/>
      <color rgb="FF000000"/>
      <name val="Aptos Narrow (Body)"/>
    </font>
    <font>
      <sz val="14"/>
      <color theme="1"/>
      <name val="Aptos Narrow (Body)"/>
    </font>
    <font>
      <b/>
      <sz val="14"/>
      <color theme="1"/>
      <name val="Aptos Narrow (Body)"/>
    </font>
    <font>
      <b/>
      <sz val="14"/>
      <color theme="1"/>
      <name val="Aptos Narrow"/>
      <scheme val="minor"/>
    </font>
    <font>
      <b/>
      <sz val="14"/>
      <color rgb="FF000000"/>
      <name val="-webkit-standard"/>
    </font>
    <font>
      <sz val="14"/>
      <color theme="1"/>
      <name val="Aptos Narrow"/>
      <scheme val="minor"/>
    </font>
    <font>
      <b/>
      <sz val="14"/>
      <color rgb="FF000000"/>
      <name val="Aptos Narrow (Body)"/>
    </font>
    <font>
      <b/>
      <sz val="16"/>
      <color rgb="FF000000"/>
      <name val="Aptos Narrow"/>
      <scheme val="minor"/>
    </font>
  </fonts>
  <fills count="18">
    <fill>
      <patternFill patternType="none"/>
    </fill>
    <fill>
      <patternFill patternType="gray125"/>
    </fill>
    <fill>
      <patternFill patternType="solid">
        <fgColor theme="4"/>
        <bgColor indexed="64"/>
      </patternFill>
    </fill>
    <fill>
      <patternFill patternType="solid">
        <fgColor theme="0" tint="-0.14999847407452621"/>
        <bgColor indexed="64"/>
      </patternFill>
    </fill>
    <fill>
      <patternFill patternType="solid">
        <fgColor theme="7"/>
        <bgColor indexed="64"/>
      </patternFill>
    </fill>
    <fill>
      <patternFill patternType="solid">
        <fgColor theme="5"/>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3" tint="0.89999084444715716"/>
        <bgColor indexed="64"/>
      </patternFill>
    </fill>
    <fill>
      <patternFill patternType="solid">
        <fgColor theme="2" tint="-0.249977111117893"/>
        <bgColor indexed="64"/>
      </patternFill>
    </fill>
    <fill>
      <patternFill patternType="solid">
        <fgColor theme="8" tint="0.59999389629810485"/>
        <bgColor indexed="64"/>
      </patternFill>
    </fill>
    <fill>
      <patternFill patternType="solid">
        <fgColor theme="4" tint="0.79998168889431442"/>
        <bgColor indexed="64"/>
      </patternFill>
    </fill>
  </fills>
  <borders count="22">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197">
    <xf numFmtId="0" fontId="0" fillId="0" borderId="0" xfId="0"/>
    <xf numFmtId="10" fontId="0" fillId="0" borderId="0" xfId="0" applyNumberFormat="1"/>
    <xf numFmtId="0" fontId="3" fillId="3" borderId="1" xfId="0" applyFont="1" applyFill="1" applyBorder="1" applyAlignment="1">
      <alignment horizontal="center" vertical="top"/>
    </xf>
    <xf numFmtId="0" fontId="4" fillId="0" borderId="0" xfId="0" applyFont="1"/>
    <xf numFmtId="10" fontId="0" fillId="0" borderId="0" xfId="2" applyNumberFormat="1" applyFont="1"/>
    <xf numFmtId="0" fontId="0" fillId="3" borderId="0" xfId="0" applyFill="1"/>
    <xf numFmtId="0" fontId="6" fillId="3" borderId="0" xfId="0" applyFont="1" applyFill="1" applyAlignment="1">
      <alignment horizontal="right"/>
    </xf>
    <xf numFmtId="165" fontId="0" fillId="0" borderId="0" xfId="2" applyNumberFormat="1" applyFont="1"/>
    <xf numFmtId="0" fontId="0" fillId="6" borderId="0" xfId="0" applyFill="1"/>
    <xf numFmtId="0" fontId="6" fillId="7" borderId="0" xfId="0" applyFont="1" applyFill="1" applyAlignment="1">
      <alignment horizontal="right"/>
    </xf>
    <xf numFmtId="0" fontId="3" fillId="3" borderId="0" xfId="0" applyFont="1" applyFill="1" applyAlignment="1">
      <alignment horizontal="right" vertical="top"/>
    </xf>
    <xf numFmtId="11" fontId="0" fillId="0" borderId="0" xfId="0" applyNumberFormat="1"/>
    <xf numFmtId="0" fontId="7" fillId="7" borderId="0" xfId="0" applyFont="1" applyFill="1" applyAlignment="1">
      <alignment horizontal="right"/>
    </xf>
    <xf numFmtId="166" fontId="8" fillId="0" borderId="2" xfId="1" applyNumberFormat="1" applyFont="1" applyBorder="1"/>
    <xf numFmtId="166" fontId="8" fillId="0" borderId="3" xfId="1" applyNumberFormat="1" applyFont="1" applyBorder="1"/>
    <xf numFmtId="166" fontId="8" fillId="0" borderId="4" xfId="1" applyNumberFormat="1" applyFont="1" applyBorder="1"/>
    <xf numFmtId="167" fontId="8" fillId="0" borderId="5" xfId="1" applyNumberFormat="1" applyFont="1" applyBorder="1"/>
    <xf numFmtId="166" fontId="8" fillId="0" borderId="0" xfId="1" applyNumberFormat="1" applyFont="1" applyBorder="1"/>
    <xf numFmtId="166" fontId="8" fillId="0" borderId="7" xfId="1" applyNumberFormat="1" applyFont="1" applyBorder="1"/>
    <xf numFmtId="167" fontId="8" fillId="0" borderId="0" xfId="1" applyNumberFormat="1" applyFont="1" applyBorder="1"/>
    <xf numFmtId="0" fontId="8" fillId="0" borderId="5" xfId="0" applyFont="1" applyBorder="1"/>
    <xf numFmtId="0" fontId="8" fillId="0" borderId="0" xfId="0" applyFont="1"/>
    <xf numFmtId="0" fontId="8" fillId="0" borderId="6" xfId="0" applyFont="1" applyBorder="1"/>
    <xf numFmtId="0" fontId="8" fillId="0" borderId="1" xfId="0" applyFont="1" applyBorder="1"/>
    <xf numFmtId="166" fontId="8" fillId="0" borderId="8" xfId="1" applyNumberFormat="1" applyFont="1" applyBorder="1"/>
    <xf numFmtId="168" fontId="0" fillId="0" borderId="0" xfId="0" applyNumberFormat="1"/>
    <xf numFmtId="0" fontId="0" fillId="9" borderId="0" xfId="0" applyFill="1"/>
    <xf numFmtId="0" fontId="6" fillId="3" borderId="9" xfId="0" applyFont="1" applyFill="1" applyBorder="1"/>
    <xf numFmtId="0" fontId="0" fillId="3" borderId="10" xfId="0" applyFill="1" applyBorder="1"/>
    <xf numFmtId="0" fontId="0" fillId="3" borderId="11" xfId="0" applyFill="1" applyBorder="1"/>
    <xf numFmtId="0" fontId="0" fillId="9" borderId="12" xfId="0" applyFill="1" applyBorder="1"/>
    <xf numFmtId="0" fontId="0" fillId="3" borderId="13" xfId="0" applyFill="1" applyBorder="1"/>
    <xf numFmtId="169" fontId="0" fillId="3" borderId="12" xfId="0" applyNumberFormat="1" applyFill="1" applyBorder="1"/>
    <xf numFmtId="0" fontId="0" fillId="3" borderId="12" xfId="0" applyFill="1" applyBorder="1"/>
    <xf numFmtId="0" fontId="0" fillId="3" borderId="14" xfId="0" applyFill="1" applyBorder="1"/>
    <xf numFmtId="0" fontId="0" fillId="3" borderId="15" xfId="0" applyFill="1" applyBorder="1"/>
    <xf numFmtId="0" fontId="0" fillId="9" borderId="16" xfId="0" applyFill="1" applyBorder="1"/>
    <xf numFmtId="169" fontId="0" fillId="3" borderId="0" xfId="0" applyNumberFormat="1" applyFill="1"/>
    <xf numFmtId="0" fontId="10" fillId="0" borderId="0" xfId="0" applyFont="1" applyAlignment="1">
      <alignment horizontal="right"/>
    </xf>
    <xf numFmtId="0" fontId="0" fillId="0" borderId="0" xfId="0" applyAlignment="1">
      <alignment horizontal="right"/>
    </xf>
    <xf numFmtId="0" fontId="0" fillId="0" borderId="0" xfId="0" applyAlignment="1">
      <alignment vertical="center"/>
    </xf>
    <xf numFmtId="0" fontId="3" fillId="3" borderId="1" xfId="0" applyFont="1" applyFill="1" applyBorder="1" applyAlignment="1">
      <alignment horizontal="center" vertical="center"/>
    </xf>
    <xf numFmtId="0" fontId="10" fillId="10" borderId="17" xfId="0" applyFont="1" applyFill="1" applyBorder="1" applyAlignment="1">
      <alignment horizontal="right" vertical="center"/>
    </xf>
    <xf numFmtId="0" fontId="0" fillId="10" borderId="7" xfId="0" applyFill="1" applyBorder="1" applyAlignment="1">
      <alignment horizontal="right"/>
    </xf>
    <xf numFmtId="10" fontId="0" fillId="10" borderId="18" xfId="2" applyNumberFormat="1" applyFont="1" applyFill="1" applyBorder="1"/>
    <xf numFmtId="0" fontId="10" fillId="10" borderId="20" xfId="0" applyFont="1" applyFill="1" applyBorder="1" applyAlignment="1">
      <alignment horizontal="right" vertical="center"/>
    </xf>
    <xf numFmtId="0" fontId="0" fillId="10" borderId="8" xfId="0" applyFill="1" applyBorder="1" applyAlignment="1">
      <alignment horizontal="right"/>
    </xf>
    <xf numFmtId="10" fontId="0" fillId="10" borderId="19" xfId="2" applyNumberFormat="1" applyFont="1" applyFill="1" applyBorder="1"/>
    <xf numFmtId="0" fontId="0" fillId="10" borderId="17" xfId="0" applyFill="1" applyBorder="1"/>
    <xf numFmtId="14" fontId="0" fillId="0" borderId="0" xfId="0" applyNumberFormat="1"/>
    <xf numFmtId="0" fontId="7" fillId="7" borderId="0" xfId="0" applyFont="1" applyFill="1" applyAlignment="1">
      <alignment horizontal="center" vertical="center"/>
    </xf>
    <xf numFmtId="0" fontId="6" fillId="7" borderId="0" xfId="0" applyFont="1" applyFill="1" applyAlignment="1">
      <alignment horizontal="center" vertical="center" wrapText="1"/>
    </xf>
    <xf numFmtId="0" fontId="6" fillId="3" borderId="9" xfId="0" applyFont="1" applyFill="1" applyBorder="1" applyAlignment="1">
      <alignment vertical="center" wrapText="1"/>
    </xf>
    <xf numFmtId="0" fontId="0" fillId="10" borderId="20" xfId="0" applyFill="1" applyBorder="1" applyAlignment="1">
      <alignment horizontal="right" wrapText="1"/>
    </xf>
    <xf numFmtId="0" fontId="10" fillId="0" borderId="0" xfId="0" applyFont="1"/>
    <xf numFmtId="0" fontId="15" fillId="0" borderId="0" xfId="0" applyFont="1"/>
    <xf numFmtId="0" fontId="15" fillId="0" borderId="0" xfId="0" applyFont="1" applyAlignment="1">
      <alignment horizontal="left" vertical="center" readingOrder="1"/>
    </xf>
    <xf numFmtId="0" fontId="16" fillId="0" borderId="0" xfId="0" applyFont="1"/>
    <xf numFmtId="0" fontId="5" fillId="0" borderId="0" xfId="0" applyFont="1"/>
    <xf numFmtId="14" fontId="5" fillId="0" borderId="0" xfId="0" applyNumberFormat="1" applyFont="1"/>
    <xf numFmtId="9" fontId="0" fillId="0" borderId="0" xfId="2" applyFont="1"/>
    <xf numFmtId="0" fontId="10" fillId="0" borderId="0" xfId="0" applyFont="1" applyAlignment="1">
      <alignment horizontal="center" vertical="center"/>
    </xf>
    <xf numFmtId="0" fontId="10" fillId="0" borderId="0" xfId="0" applyFont="1" applyAlignment="1">
      <alignment horizontal="center" vertical="center" wrapText="1"/>
    </xf>
    <xf numFmtId="0" fontId="0" fillId="10" borderId="0" xfId="0" applyFill="1"/>
    <xf numFmtId="0" fontId="19" fillId="0" borderId="0" xfId="0" applyFont="1"/>
    <xf numFmtId="10" fontId="0" fillId="10" borderId="0" xfId="2" applyNumberFormat="1" applyFont="1" applyFill="1"/>
    <xf numFmtId="10" fontId="12" fillId="10" borderId="0" xfId="2" applyNumberFormat="1" applyFont="1" applyFill="1" applyAlignment="1">
      <alignment horizontal="right"/>
    </xf>
    <xf numFmtId="10" fontId="0" fillId="10" borderId="0" xfId="0" applyNumberFormat="1" applyFill="1"/>
    <xf numFmtId="9" fontId="0" fillId="12" borderId="0" xfId="2" applyFont="1" applyFill="1" applyAlignment="1">
      <alignment horizontal="right"/>
    </xf>
    <xf numFmtId="0" fontId="14" fillId="13" borderId="0" xfId="0" applyFont="1" applyFill="1"/>
    <xf numFmtId="0" fontId="11" fillId="13" borderId="0" xfId="0" applyFont="1" applyFill="1"/>
    <xf numFmtId="0" fontId="0" fillId="11" borderId="0" xfId="0" applyFill="1"/>
    <xf numFmtId="168" fontId="0" fillId="8" borderId="2" xfId="0" applyNumberFormat="1" applyFill="1" applyBorder="1"/>
    <xf numFmtId="168" fontId="0" fillId="0" borderId="3" xfId="0" applyNumberFormat="1" applyBorder="1"/>
    <xf numFmtId="168" fontId="0" fillId="0" borderId="4" xfId="0" applyNumberFormat="1" applyBorder="1"/>
    <xf numFmtId="168" fontId="0" fillId="0" borderId="5" xfId="0" applyNumberFormat="1" applyBorder="1"/>
    <xf numFmtId="168" fontId="0" fillId="8" borderId="0" xfId="0" applyNumberFormat="1" applyFill="1"/>
    <xf numFmtId="168" fontId="0" fillId="0" borderId="7" xfId="0" applyNumberFormat="1" applyBorder="1"/>
    <xf numFmtId="168" fontId="0" fillId="0" borderId="6" xfId="0" applyNumberFormat="1" applyBorder="1"/>
    <xf numFmtId="168" fontId="0" fillId="0" borderId="1" xfId="0" applyNumberFormat="1" applyBorder="1"/>
    <xf numFmtId="168" fontId="0" fillId="8" borderId="8" xfId="0" applyNumberFormat="1" applyFill="1" applyBorder="1"/>
    <xf numFmtId="0" fontId="0" fillId="12" borderId="0" xfId="2" applyNumberFormat="1" applyFont="1" applyFill="1"/>
    <xf numFmtId="10" fontId="0" fillId="12" borderId="0" xfId="2" applyNumberFormat="1" applyFont="1" applyFill="1"/>
    <xf numFmtId="0" fontId="0" fillId="14" borderId="0" xfId="0" applyFill="1"/>
    <xf numFmtId="0" fontId="0" fillId="15" borderId="0" xfId="0" applyFill="1"/>
    <xf numFmtId="0" fontId="10" fillId="15" borderId="0" xfId="0" applyFont="1" applyFill="1" applyAlignment="1">
      <alignment horizontal="right"/>
    </xf>
    <xf numFmtId="0" fontId="12" fillId="15" borderId="0" xfId="0" applyFont="1" applyFill="1"/>
    <xf numFmtId="0" fontId="13" fillId="15" borderId="0" xfId="0" applyFont="1" applyFill="1"/>
    <xf numFmtId="170" fontId="0" fillId="10" borderId="17" xfId="0" applyNumberFormat="1" applyFill="1" applyBorder="1" applyAlignment="1">
      <alignment horizontal="right" vertical="center"/>
    </xf>
    <xf numFmtId="10" fontId="0" fillId="14" borderId="0" xfId="0" applyNumberFormat="1" applyFill="1"/>
    <xf numFmtId="10" fontId="10" fillId="14" borderId="0" xfId="0" applyNumberFormat="1" applyFont="1" applyFill="1" applyAlignment="1">
      <alignment horizontal="right"/>
    </xf>
    <xf numFmtId="9" fontId="0" fillId="9" borderId="0" xfId="2" applyFont="1" applyFill="1" applyAlignment="1">
      <alignment horizontal="right"/>
    </xf>
    <xf numFmtId="10" fontId="12" fillId="14" borderId="0" xfId="0" applyNumberFormat="1" applyFont="1" applyFill="1" applyAlignment="1">
      <alignment horizontal="right"/>
    </xf>
    <xf numFmtId="10" fontId="10" fillId="14" borderId="0" xfId="0" applyNumberFormat="1" applyFont="1" applyFill="1"/>
    <xf numFmtId="0" fontId="10" fillId="14" borderId="0" xfId="0" applyFont="1" applyFill="1"/>
    <xf numFmtId="10" fontId="10" fillId="9" borderId="0" xfId="0" applyNumberFormat="1" applyFont="1" applyFill="1"/>
    <xf numFmtId="0" fontId="10" fillId="9" borderId="0" xfId="0" applyFont="1" applyFill="1"/>
    <xf numFmtId="170" fontId="0" fillId="11" borderId="0" xfId="0" applyNumberFormat="1" applyFill="1"/>
    <xf numFmtId="10" fontId="10" fillId="11" borderId="0" xfId="0" applyNumberFormat="1" applyFont="1" applyFill="1"/>
    <xf numFmtId="9" fontId="0" fillId="11" borderId="0" xfId="0" applyNumberFormat="1" applyFill="1"/>
    <xf numFmtId="0" fontId="0" fillId="9" borderId="0" xfId="0" applyFill="1" applyAlignment="1">
      <alignment horizontal="right"/>
    </xf>
    <xf numFmtId="0" fontId="13" fillId="15" borderId="0" xfId="0" applyFont="1" applyFill="1" applyAlignment="1">
      <alignment horizontal="right"/>
    </xf>
    <xf numFmtId="0" fontId="17" fillId="0" borderId="0" xfId="0" applyFont="1"/>
    <xf numFmtId="10" fontId="0" fillId="16" borderId="0" xfId="2" applyNumberFormat="1" applyFont="1" applyFill="1"/>
    <xf numFmtId="170" fontId="0" fillId="12" borderId="0" xfId="0" applyNumberFormat="1" applyFill="1"/>
    <xf numFmtId="10" fontId="12" fillId="14" borderId="0" xfId="0" applyNumberFormat="1" applyFont="1" applyFill="1"/>
    <xf numFmtId="0" fontId="12" fillId="14" borderId="0" xfId="0" applyFont="1" applyFill="1"/>
    <xf numFmtId="0" fontId="10" fillId="10" borderId="17" xfId="0" applyFont="1" applyFill="1" applyBorder="1" applyAlignment="1">
      <alignment horizontal="right" vertical="center" wrapText="1"/>
    </xf>
    <xf numFmtId="0" fontId="0" fillId="0" borderId="0" xfId="0" applyAlignment="1">
      <alignment horizontal="center"/>
    </xf>
    <xf numFmtId="2" fontId="0" fillId="0" borderId="0" xfId="0" applyNumberFormat="1" applyAlignment="1">
      <alignment horizontal="center"/>
    </xf>
    <xf numFmtId="14" fontId="10" fillId="0" borderId="0" xfId="0" applyNumberFormat="1" applyFont="1"/>
    <xf numFmtId="0" fontId="5" fillId="0" borderId="0" xfId="0" applyFont="1" applyAlignment="1">
      <alignment horizontal="right"/>
    </xf>
    <xf numFmtId="0" fontId="10" fillId="0" borderId="0" xfId="0" applyFont="1" applyAlignment="1">
      <alignment horizontal="right" wrapText="1"/>
    </xf>
    <xf numFmtId="0" fontId="10" fillId="7" borderId="0" xfId="0" applyFont="1" applyFill="1"/>
    <xf numFmtId="11" fontId="0" fillId="8" borderId="17" xfId="0" applyNumberFormat="1" applyFill="1" applyBorder="1"/>
    <xf numFmtId="11" fontId="0" fillId="9" borderId="17" xfId="0" applyNumberFormat="1" applyFill="1" applyBorder="1"/>
    <xf numFmtId="11" fontId="0" fillId="0" borderId="17" xfId="0" applyNumberFormat="1" applyBorder="1"/>
    <xf numFmtId="0" fontId="0" fillId="0" borderId="17" xfId="0" applyBorder="1"/>
    <xf numFmtId="11" fontId="0" fillId="10" borderId="17" xfId="0" applyNumberFormat="1" applyFill="1" applyBorder="1"/>
    <xf numFmtId="171" fontId="0" fillId="0" borderId="0" xfId="2" applyNumberFormat="1" applyFont="1"/>
    <xf numFmtId="172" fontId="0" fillId="10" borderId="17" xfId="0" applyNumberFormat="1" applyFill="1" applyBorder="1" applyAlignment="1">
      <alignment horizontal="right" vertical="center"/>
    </xf>
    <xf numFmtId="9" fontId="10" fillId="9" borderId="0" xfId="2" applyFont="1" applyFill="1" applyAlignment="1">
      <alignment horizontal="right"/>
    </xf>
    <xf numFmtId="9" fontId="1" fillId="9" borderId="0" xfId="2" applyFont="1" applyFill="1" applyAlignment="1">
      <alignment horizontal="right"/>
    </xf>
    <xf numFmtId="10" fontId="0" fillId="14" borderId="0" xfId="0" applyNumberFormat="1" applyFill="1" applyAlignment="1">
      <alignment horizontal="right"/>
    </xf>
    <xf numFmtId="9" fontId="0" fillId="0" borderId="0" xfId="0" applyNumberFormat="1"/>
    <xf numFmtId="0" fontId="10" fillId="0" borderId="17" xfId="0" applyFont="1" applyBorder="1" applyAlignment="1">
      <alignment horizontal="right" vertical="center" wrapText="1"/>
    </xf>
    <xf numFmtId="174" fontId="0" fillId="0" borderId="17" xfId="2" applyNumberFormat="1" applyFont="1" applyBorder="1"/>
    <xf numFmtId="0" fontId="0" fillId="0" borderId="17" xfId="2" applyNumberFormat="1" applyFont="1" applyBorder="1"/>
    <xf numFmtId="10" fontId="0" fillId="16" borderId="17" xfId="2" applyNumberFormat="1" applyFont="1" applyFill="1" applyBorder="1"/>
    <xf numFmtId="173" fontId="0" fillId="16" borderId="17" xfId="2" applyNumberFormat="1" applyFont="1" applyFill="1" applyBorder="1"/>
    <xf numFmtId="0" fontId="10" fillId="0" borderId="17" xfId="0" applyFont="1" applyBorder="1"/>
    <xf numFmtId="0" fontId="0" fillId="11" borderId="17" xfId="0" applyFill="1" applyBorder="1"/>
    <xf numFmtId="170" fontId="0" fillId="11" borderId="17" xfId="0" applyNumberFormat="1" applyFill="1" applyBorder="1"/>
    <xf numFmtId="10" fontId="10" fillId="9" borderId="17" xfId="0" applyNumberFormat="1" applyFont="1" applyFill="1" applyBorder="1"/>
    <xf numFmtId="0" fontId="10" fillId="0" borderId="17" xfId="0" applyFont="1" applyBorder="1" applyAlignment="1">
      <alignment horizontal="right"/>
    </xf>
    <xf numFmtId="10" fontId="10" fillId="11" borderId="17" xfId="0" applyNumberFormat="1" applyFont="1" applyFill="1" applyBorder="1"/>
    <xf numFmtId="0" fontId="0" fillId="9" borderId="21" xfId="0" applyFill="1" applyBorder="1" applyAlignment="1">
      <alignment horizontal="right"/>
    </xf>
    <xf numFmtId="9" fontId="0" fillId="16" borderId="17" xfId="2" applyFont="1" applyFill="1" applyBorder="1"/>
    <xf numFmtId="0" fontId="0" fillId="3" borderId="17" xfId="0" applyFill="1" applyBorder="1"/>
    <xf numFmtId="0" fontId="10" fillId="7" borderId="17" xfId="0" applyFont="1" applyFill="1" applyBorder="1"/>
    <xf numFmtId="0" fontId="10" fillId="3" borderId="17" xfId="0" applyFont="1" applyFill="1" applyBorder="1"/>
    <xf numFmtId="10" fontId="0" fillId="14" borderId="0" xfId="2" applyNumberFormat="1" applyFont="1" applyFill="1"/>
    <xf numFmtId="10" fontId="12" fillId="14" borderId="0" xfId="2" applyNumberFormat="1" applyFont="1" applyFill="1" applyAlignment="1">
      <alignment horizontal="right"/>
    </xf>
    <xf numFmtId="0" fontId="0" fillId="14" borderId="0" xfId="2" applyNumberFormat="1" applyFont="1" applyFill="1"/>
    <xf numFmtId="9" fontId="0" fillId="17" borderId="0" xfId="2" applyFont="1" applyFill="1" applyAlignment="1">
      <alignment horizontal="right"/>
    </xf>
    <xf numFmtId="9" fontId="10" fillId="17" borderId="0" xfId="2" applyFont="1" applyFill="1" applyAlignment="1">
      <alignment horizontal="right"/>
    </xf>
    <xf numFmtId="0" fontId="13" fillId="9" borderId="0" xfId="0" applyFont="1" applyFill="1"/>
    <xf numFmtId="0" fontId="10" fillId="9" borderId="0" xfId="0" applyFont="1" applyFill="1" applyAlignment="1">
      <alignment horizontal="right"/>
    </xf>
    <xf numFmtId="0" fontId="6" fillId="7" borderId="17" xfId="0" applyFont="1" applyFill="1" applyBorder="1" applyAlignment="1">
      <alignment horizontal="center" vertical="center" wrapText="1"/>
    </xf>
    <xf numFmtId="0" fontId="3" fillId="3" borderId="17" xfId="0" applyFont="1" applyFill="1" applyBorder="1" applyAlignment="1">
      <alignment horizontal="center" vertical="center"/>
    </xf>
    <xf numFmtId="0" fontId="3" fillId="3" borderId="17" xfId="0" applyFont="1" applyFill="1" applyBorder="1" applyAlignment="1">
      <alignment horizontal="right" vertical="top"/>
    </xf>
    <xf numFmtId="168" fontId="0" fillId="8" borderId="17" xfId="0" applyNumberFormat="1" applyFill="1" applyBorder="1"/>
    <xf numFmtId="168" fontId="0" fillId="9" borderId="17" xfId="0" applyNumberFormat="1" applyFill="1" applyBorder="1"/>
    <xf numFmtId="168" fontId="0" fillId="0" borderId="17" xfId="0" applyNumberFormat="1" applyBorder="1"/>
    <xf numFmtId="0" fontId="6" fillId="3" borderId="17" xfId="0" applyFont="1" applyFill="1" applyBorder="1" applyAlignment="1">
      <alignment vertical="center" wrapText="1"/>
    </xf>
    <xf numFmtId="0" fontId="0" fillId="9" borderId="17" xfId="0" applyFill="1" applyBorder="1"/>
    <xf numFmtId="169" fontId="0" fillId="3" borderId="17" xfId="0" applyNumberFormat="1" applyFill="1" applyBorder="1"/>
    <xf numFmtId="10" fontId="10" fillId="9" borderId="0" xfId="2" applyNumberFormat="1" applyFont="1" applyFill="1" applyAlignment="1">
      <alignment horizontal="right"/>
    </xf>
    <xf numFmtId="10" fontId="10" fillId="0" borderId="0" xfId="2" applyNumberFormat="1" applyFont="1"/>
    <xf numFmtId="9" fontId="10" fillId="9" borderId="0" xfId="2" applyFont="1" applyFill="1"/>
    <xf numFmtId="10" fontId="10" fillId="14" borderId="0" xfId="2" applyNumberFormat="1" applyFont="1" applyFill="1"/>
    <xf numFmtId="0" fontId="0" fillId="16" borderId="17" xfId="0" applyFill="1" applyBorder="1"/>
    <xf numFmtId="0" fontId="2" fillId="2" borderId="0" xfId="0" applyFont="1" applyFill="1" applyAlignment="1">
      <alignment horizontal="center"/>
    </xf>
    <xf numFmtId="0" fontId="2" fillId="4" borderId="0" xfId="0" applyFont="1" applyFill="1" applyAlignment="1">
      <alignment horizontal="center"/>
    </xf>
    <xf numFmtId="0" fontId="2" fillId="5" borderId="0" xfId="0" applyFont="1" applyFill="1" applyAlignment="1">
      <alignment horizontal="center"/>
    </xf>
    <xf numFmtId="0" fontId="10" fillId="11" borderId="20" xfId="0" applyFont="1" applyFill="1" applyBorder="1" applyAlignment="1">
      <alignment horizontal="center"/>
    </xf>
    <xf numFmtId="0" fontId="10" fillId="11" borderId="17" xfId="0" applyFont="1" applyFill="1" applyBorder="1" applyAlignment="1">
      <alignment horizontal="center"/>
    </xf>
    <xf numFmtId="0" fontId="20" fillId="16" borderId="2" xfId="0" applyFont="1" applyFill="1" applyBorder="1" applyAlignment="1">
      <alignment horizontal="center" vertical="center"/>
    </xf>
    <xf numFmtId="0" fontId="20" fillId="16" borderId="3" xfId="0" applyFont="1" applyFill="1" applyBorder="1" applyAlignment="1">
      <alignment horizontal="center" vertical="center"/>
    </xf>
    <xf numFmtId="0" fontId="20" fillId="16" borderId="4" xfId="0" applyFont="1" applyFill="1" applyBorder="1" applyAlignment="1">
      <alignment horizontal="center" vertical="center"/>
    </xf>
    <xf numFmtId="0" fontId="20" fillId="16" borderId="5" xfId="0" applyFont="1" applyFill="1" applyBorder="1" applyAlignment="1">
      <alignment horizontal="center" vertical="center"/>
    </xf>
    <xf numFmtId="0" fontId="20" fillId="16" borderId="0" xfId="0" applyFont="1" applyFill="1" applyAlignment="1">
      <alignment horizontal="center" vertical="center"/>
    </xf>
    <xf numFmtId="0" fontId="20" fillId="16" borderId="7" xfId="0" applyFont="1" applyFill="1" applyBorder="1" applyAlignment="1">
      <alignment horizontal="center" vertical="center"/>
    </xf>
    <xf numFmtId="0" fontId="18" fillId="10" borderId="0" xfId="0" applyFont="1" applyFill="1" applyAlignment="1">
      <alignment horizontal="center"/>
    </xf>
    <xf numFmtId="0" fontId="10" fillId="9" borderId="0" xfId="0" applyFont="1" applyFill="1" applyAlignment="1">
      <alignment horizontal="center"/>
    </xf>
    <xf numFmtId="0" fontId="10" fillId="11" borderId="0" xfId="0" applyFont="1" applyFill="1" applyAlignment="1">
      <alignment horizontal="center"/>
    </xf>
    <xf numFmtId="0" fontId="21" fillId="0" borderId="0" xfId="0" applyFont="1"/>
    <xf numFmtId="0" fontId="0" fillId="7" borderId="0" xfId="0" applyFill="1"/>
    <xf numFmtId="0" fontId="22" fillId="0" borderId="0" xfId="0" applyFont="1"/>
    <xf numFmtId="0" fontId="21" fillId="9" borderId="0" xfId="0" applyFont="1" applyFill="1"/>
    <xf numFmtId="0" fontId="23" fillId="0" borderId="0" xfId="0" applyFont="1"/>
    <xf numFmtId="0" fontId="24" fillId="0" borderId="0" xfId="0" applyFont="1"/>
    <xf numFmtId="0" fontId="28" fillId="0" borderId="0" xfId="0" applyFont="1"/>
    <xf numFmtId="0" fontId="29" fillId="0" borderId="0" xfId="0" applyFont="1"/>
    <xf numFmtId="0" fontId="30" fillId="0" borderId="0" xfId="0" applyFont="1"/>
    <xf numFmtId="0" fontId="31" fillId="0" borderId="0" xfId="0" applyFont="1"/>
    <xf numFmtId="0" fontId="32" fillId="0" borderId="0" xfId="0" applyFont="1"/>
    <xf numFmtId="0" fontId="25" fillId="0" borderId="0" xfId="0" applyFont="1"/>
    <xf numFmtId="0" fontId="33" fillId="0" borderId="0" xfId="0" applyFont="1"/>
    <xf numFmtId="0" fontId="18" fillId="9" borderId="0" xfId="0" applyFont="1" applyFill="1"/>
    <xf numFmtId="0" fontId="29" fillId="9" borderId="0" xfId="0" applyFont="1" applyFill="1"/>
    <xf numFmtId="0" fontId="34" fillId="0" borderId="0" xfId="0" applyFont="1"/>
    <xf numFmtId="0" fontId="27" fillId="7" borderId="0" xfId="0" applyFont="1" applyFill="1"/>
    <xf numFmtId="0" fontId="19" fillId="7" borderId="0" xfId="0" applyFont="1" applyFill="1"/>
    <xf numFmtId="0" fontId="18" fillId="7" borderId="0" xfId="0" applyFont="1" applyFill="1"/>
    <xf numFmtId="0" fontId="26" fillId="7" borderId="0" xfId="0" applyFont="1" applyFill="1"/>
    <xf numFmtId="0" fontId="35" fillId="7" borderId="0" xfId="0" applyFont="1" applyFill="1"/>
  </cellXfs>
  <cellStyles count="3">
    <cellStyle name="Comma" xfId="1" builtinId="3"/>
    <cellStyle name="Normal" xfId="0" builtinId="0"/>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962839177476919E-2"/>
          <c:y val="3.7788635272300961E-2"/>
          <c:w val="0.90367382314620748"/>
          <c:h val="0.94963798471186578"/>
        </c:manualLayout>
      </c:layout>
      <c:scatterChart>
        <c:scatterStyle val="smoothMarker"/>
        <c:varyColors val="0"/>
        <c:ser>
          <c:idx val="0"/>
          <c:order val="0"/>
          <c:tx>
            <c:v>cal</c:v>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'Efficient Frontier &amp; Specific '!$M$44:$M$50</c:f>
              <c:numCache>
                <c:formatCode>0.00%</c:formatCode>
                <c:ptCount val="7"/>
                <c:pt idx="0">
                  <c:v>0</c:v>
                </c:pt>
                <c:pt idx="1">
                  <c:v>2.7191221508308463E-2</c:v>
                </c:pt>
                <c:pt idx="2">
                  <c:v>5.4382443016616926E-2</c:v>
                </c:pt>
                <c:pt idx="3">
                  <c:v>8.1573664524925385E-2</c:v>
                </c:pt>
                <c:pt idx="4">
                  <c:v>0.10876488603323385</c:v>
                </c:pt>
                <c:pt idx="5">
                  <c:v>0.1359561075415423</c:v>
                </c:pt>
                <c:pt idx="6">
                  <c:v>0.16314732904985077</c:v>
                </c:pt>
              </c:numCache>
            </c:numRef>
          </c:xVal>
          <c:yVal>
            <c:numRef>
              <c:f>'Efficient Frontier &amp; Specific '!$N$44:$N$50</c:f>
              <c:numCache>
                <c:formatCode>0.00%</c:formatCode>
                <c:ptCount val="7"/>
                <c:pt idx="0" formatCode="0.0000%">
                  <c:v>2.1049382716049381E-5</c:v>
                </c:pt>
                <c:pt idx="1">
                  <c:v>1.8260168211566657E-2</c:v>
                </c:pt>
                <c:pt idx="2">
                  <c:v>3.6499287040417265E-2</c:v>
                </c:pt>
                <c:pt idx="3">
                  <c:v>5.473840586926787E-2</c:v>
                </c:pt>
                <c:pt idx="4">
                  <c:v>7.2977524698118482E-2</c:v>
                </c:pt>
                <c:pt idx="5">
                  <c:v>9.1216643526969093E-2</c:v>
                </c:pt>
                <c:pt idx="6">
                  <c:v>0.10945576235581969</c:v>
                </c:pt>
              </c:numCache>
            </c:numRef>
          </c:yVal>
          <c:smooth val="1"/>
          <c:extLst>
            <c:ext xmlns:c16="http://schemas.microsoft.com/office/drawing/2014/chart" uri="{C3380CC4-5D6E-409C-BE32-E72D297353CC}">
              <c16:uniqueId val="{00000001-B20E-46EE-992D-A0B535EA80FB}"/>
            </c:ext>
          </c:extLst>
        </c:ser>
        <c:ser>
          <c:idx val="1"/>
          <c:order val="1"/>
          <c:tx>
            <c:v>portfolio</c:v>
          </c:tx>
          <c:spPr>
            <a:ln w="19050" cap="rnd">
              <a:solidFill>
                <a:schemeClr val="accent5"/>
              </a:solidFill>
              <a:round/>
            </a:ln>
            <a:effectLst/>
          </c:spPr>
          <c:marker>
            <c:symbol val="circle"/>
            <c:size val="5"/>
            <c:spPr>
              <a:solidFill>
                <a:schemeClr val="accent5"/>
              </a:solidFill>
              <a:ln w="9525">
                <a:solidFill>
                  <a:schemeClr val="accent5"/>
                </a:solidFill>
              </a:ln>
              <a:effectLst/>
            </c:spPr>
          </c:marker>
          <c:dPt>
            <c:idx val="3"/>
            <c:marker>
              <c:symbol val="circle"/>
              <c:size val="5"/>
              <c:spPr>
                <a:solidFill>
                  <a:srgbClr val="FF0000"/>
                </a:solidFill>
                <a:ln w="9525">
                  <a:solidFill>
                    <a:schemeClr val="accent5"/>
                  </a:solidFill>
                </a:ln>
                <a:effectLst/>
              </c:spPr>
            </c:marker>
            <c:bubble3D val="0"/>
            <c:extLst>
              <c:ext xmlns:c16="http://schemas.microsoft.com/office/drawing/2014/chart" uri="{C3380CC4-5D6E-409C-BE32-E72D297353CC}">
                <c16:uniqueId val="{00000000-7C36-4A2F-A464-EBED2D1A2847}"/>
              </c:ext>
            </c:extLst>
          </c:dPt>
          <c:xVal>
            <c:numRef>
              <c:f>'Efficient Frontier &amp; Specific '!$M$27:$M$36</c:f>
              <c:numCache>
                <c:formatCode>0.00%</c:formatCode>
                <c:ptCount val="10"/>
                <c:pt idx="0">
                  <c:v>1.5362092692637892E-2</c:v>
                </c:pt>
                <c:pt idx="1">
                  <c:v>1.349226205822497E-2</c:v>
                </c:pt>
                <c:pt idx="2">
                  <c:v>1.3405027978842157E-2</c:v>
                </c:pt>
                <c:pt idx="3">
                  <c:v>1.372502031411516E-2</c:v>
                </c:pt>
                <c:pt idx="4">
                  <c:v>1.5324097298549395E-2</c:v>
                </c:pt>
                <c:pt idx="5">
                  <c:v>2.1167756718311254E-2</c:v>
                </c:pt>
                <c:pt idx="6">
                  <c:v>2.8666689155413604E-2</c:v>
                </c:pt>
                <c:pt idx="7">
                  <c:v>3.6823136453355387E-2</c:v>
                </c:pt>
                <c:pt idx="8">
                  <c:v>0.10876488603323385</c:v>
                </c:pt>
                <c:pt idx="9">
                  <c:v>0.11865569689407451</c:v>
                </c:pt>
              </c:numCache>
            </c:numRef>
          </c:xVal>
          <c:yVal>
            <c:numRef>
              <c:f>'Efficient Frontier &amp; Specific '!$N$27:$N$36</c:f>
              <c:numCache>
                <c:formatCode>0.00%</c:formatCode>
                <c:ptCount val="10"/>
                <c:pt idx="0">
                  <c:v>-3.9999999815890155E-3</c:v>
                </c:pt>
                <c:pt idx="1">
                  <c:v>3.8387380188638354E-11</c:v>
                </c:pt>
                <c:pt idx="2">
                  <c:v>1.0263808605082145E-3</c:v>
                </c:pt>
                <c:pt idx="3">
                  <c:v>2.9999001896225392E-3</c:v>
                </c:pt>
                <c:pt idx="4">
                  <c:v>5.9999999664120942E-3</c:v>
                </c:pt>
                <c:pt idx="5">
                  <c:v>1.1999999827707553E-2</c:v>
                </c:pt>
                <c:pt idx="6">
                  <c:v>1.8000000000660259E-2</c:v>
                </c:pt>
                <c:pt idx="7">
                  <c:v>2.4000000024403299E-2</c:v>
                </c:pt>
                <c:pt idx="8">
                  <c:v>7.2977524698118482E-2</c:v>
                </c:pt>
                <c:pt idx="9">
                  <c:v>8.0000000201738475E-2</c:v>
                </c:pt>
              </c:numCache>
            </c:numRef>
          </c:yVal>
          <c:smooth val="1"/>
          <c:extLst>
            <c:ext xmlns:c16="http://schemas.microsoft.com/office/drawing/2014/chart" uri="{C3380CC4-5D6E-409C-BE32-E72D297353CC}">
              <c16:uniqueId val="{00000002-B20E-46EE-992D-A0B535EA80FB}"/>
            </c:ext>
          </c:extLst>
        </c:ser>
        <c:dLbls>
          <c:showLegendKey val="0"/>
          <c:showVal val="0"/>
          <c:showCatName val="0"/>
          <c:showSerName val="0"/>
          <c:showPercent val="0"/>
          <c:showBubbleSize val="0"/>
        </c:dLbls>
        <c:axId val="1576472832"/>
        <c:axId val="1576664032"/>
      </c:scatterChart>
      <c:valAx>
        <c:axId val="1576472832"/>
        <c:scaling>
          <c:orientation val="minMax"/>
        </c:scaling>
        <c:delete val="0"/>
        <c:axPos val="b"/>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76664032"/>
        <c:crosses val="autoZero"/>
        <c:crossBetween val="midCat"/>
      </c:valAx>
      <c:valAx>
        <c:axId val="1576664032"/>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76472832"/>
        <c:crosses val="autoZero"/>
        <c:crossBetween val="midCat"/>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'No short sales'!$M$27:$M$35</c:f>
              <c:numCache>
                <c:formatCode>0.00%</c:formatCode>
                <c:ptCount val="9"/>
                <c:pt idx="0">
                  <c:v>2.0811171450586183E-2</c:v>
                </c:pt>
                <c:pt idx="1">
                  <c:v>1.6265986599479899E-2</c:v>
                </c:pt>
                <c:pt idx="2">
                  <c:v>1.6239872360189027E-2</c:v>
                </c:pt>
                <c:pt idx="3">
                  <c:v>2.2639618522669606E-2</c:v>
                </c:pt>
                <c:pt idx="4">
                  <c:v>3.8328765406352182E-2</c:v>
                </c:pt>
                <c:pt idx="5">
                  <c:v>7.0653285917820094E-2</c:v>
                </c:pt>
                <c:pt idx="6">
                  <c:v>0.11132086072148606</c:v>
                </c:pt>
                <c:pt idx="7">
                  <c:v>0.15512935024858529</c:v>
                </c:pt>
                <c:pt idx="8">
                  <c:v>0.16404966562161344</c:v>
                </c:pt>
              </c:numCache>
            </c:numRef>
          </c:xVal>
          <c:yVal>
            <c:numRef>
              <c:f>'No short sales'!$N$27:$N$35</c:f>
              <c:numCache>
                <c:formatCode>0.00%</c:formatCode>
                <c:ptCount val="9"/>
                <c:pt idx="0">
                  <c:v>-2.9999968241329461E-4</c:v>
                </c:pt>
                <c:pt idx="1">
                  <c:v>1.0000000768481156E-3</c:v>
                </c:pt>
                <c:pt idx="2">
                  <c:v>1.101217269976506E-3</c:v>
                </c:pt>
                <c:pt idx="3">
                  <c:v>8.0000000750165348E-3</c:v>
                </c:pt>
                <c:pt idx="4">
                  <c:v>1.7381535953207003E-2</c:v>
                </c:pt>
                <c:pt idx="5">
                  <c:v>2.800001785867668E-2</c:v>
                </c:pt>
                <c:pt idx="6">
                  <c:v>3.8000028000017852E-2</c:v>
                </c:pt>
                <c:pt idx="7">
                  <c:v>4.8000038000028E-2</c:v>
                </c:pt>
                <c:pt idx="8">
                  <c:v>5.0000000098509079E-2</c:v>
                </c:pt>
              </c:numCache>
            </c:numRef>
          </c:yVal>
          <c:smooth val="1"/>
          <c:extLst>
            <c:ext xmlns:c16="http://schemas.microsoft.com/office/drawing/2014/chart" uri="{C3380CC4-5D6E-409C-BE32-E72D297353CC}">
              <c16:uniqueId val="{00000000-3A0B-7E43-AEEC-FF3249E9F7C9}"/>
            </c:ext>
          </c:extLst>
        </c:ser>
        <c:ser>
          <c:idx val="1"/>
          <c:order val="1"/>
          <c:tx>
            <c:v>CAL</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'No short sales'!$M$42:$M$49</c:f>
              <c:numCache>
                <c:formatCode>0.00%</c:formatCode>
                <c:ptCount val="8"/>
                <c:pt idx="0">
                  <c:v>0</c:v>
                </c:pt>
                <c:pt idx="1">
                  <c:v>9.5821913515880455E-3</c:v>
                </c:pt>
                <c:pt idx="2">
                  <c:v>1.9164382703176091E-2</c:v>
                </c:pt>
                <c:pt idx="3">
                  <c:v>2.8746574054764135E-2</c:v>
                </c:pt>
                <c:pt idx="4">
                  <c:v>3.8328765406352182E-2</c:v>
                </c:pt>
                <c:pt idx="5">
                  <c:v>4.7910956757940229E-2</c:v>
                </c:pt>
                <c:pt idx="6">
                  <c:v>5.7493148109528269E-2</c:v>
                </c:pt>
                <c:pt idx="7" formatCode="0%">
                  <c:v>0.20007615542115839</c:v>
                </c:pt>
              </c:numCache>
            </c:numRef>
          </c:xVal>
          <c:yVal>
            <c:numRef>
              <c:f>'No short sales'!$N$42:$N$49</c:f>
              <c:numCache>
                <c:formatCode>0.0000%</c:formatCode>
                <c:ptCount val="8"/>
                <c:pt idx="0">
                  <c:v>0</c:v>
                </c:pt>
                <c:pt idx="1">
                  <c:v>4.3453839883017507E-3</c:v>
                </c:pt>
                <c:pt idx="2">
                  <c:v>8.6907679766035015E-3</c:v>
                </c:pt>
                <c:pt idx="3">
                  <c:v>1.3036151964905252E-2</c:v>
                </c:pt>
                <c:pt idx="4">
                  <c:v>1.7381535953207003E-2</c:v>
                </c:pt>
                <c:pt idx="5">
                  <c:v>2.1726919941508754E-2</c:v>
                </c:pt>
                <c:pt idx="6">
                  <c:v>2.6072303929810504E-2</c:v>
                </c:pt>
                <c:pt idx="7" formatCode="0%">
                  <c:v>9.0731617675740547E-2</c:v>
                </c:pt>
              </c:numCache>
            </c:numRef>
          </c:yVal>
          <c:smooth val="1"/>
          <c:extLst>
            <c:ext xmlns:c16="http://schemas.microsoft.com/office/drawing/2014/chart" uri="{C3380CC4-5D6E-409C-BE32-E72D297353CC}">
              <c16:uniqueId val="{00000001-5E82-4717-8906-3968695ACFDB}"/>
            </c:ext>
          </c:extLst>
        </c:ser>
        <c:dLbls>
          <c:showLegendKey val="0"/>
          <c:showVal val="0"/>
          <c:showCatName val="0"/>
          <c:showSerName val="0"/>
          <c:showPercent val="0"/>
          <c:showBubbleSize val="0"/>
        </c:dLbls>
        <c:axId val="1601986032"/>
        <c:axId val="1601999200"/>
      </c:scatterChart>
      <c:valAx>
        <c:axId val="160198603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01999200"/>
        <c:crosses val="autoZero"/>
        <c:crossBetween val="midCat"/>
      </c:valAx>
      <c:valAx>
        <c:axId val="16019992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019860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962839177476919E-2"/>
          <c:y val="3.7788635272300961E-2"/>
          <c:w val="0.90367382314620748"/>
          <c:h val="0.94963798471186578"/>
        </c:manualLayout>
      </c:layout>
      <c:scatterChart>
        <c:scatterStyle val="smoothMarker"/>
        <c:varyColors val="0"/>
        <c:ser>
          <c:idx val="0"/>
          <c:order val="0"/>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'Efficient Frontier &amp; Specific '!$M$44:$M$50</c:f>
              <c:numCache>
                <c:formatCode>0.00%</c:formatCode>
                <c:ptCount val="7"/>
                <c:pt idx="0">
                  <c:v>0</c:v>
                </c:pt>
                <c:pt idx="1">
                  <c:v>2.7191221508308463E-2</c:v>
                </c:pt>
                <c:pt idx="2">
                  <c:v>5.4382443016616926E-2</c:v>
                </c:pt>
                <c:pt idx="3">
                  <c:v>8.1573664524925385E-2</c:v>
                </c:pt>
                <c:pt idx="4">
                  <c:v>0.10876488603323385</c:v>
                </c:pt>
                <c:pt idx="5">
                  <c:v>0.1359561075415423</c:v>
                </c:pt>
                <c:pt idx="6">
                  <c:v>0.16314732904985077</c:v>
                </c:pt>
              </c:numCache>
            </c:numRef>
          </c:xVal>
          <c:yVal>
            <c:numRef>
              <c:f>'Efficient Frontier &amp; Specific '!$N$44:$N$50</c:f>
              <c:numCache>
                <c:formatCode>0.00%</c:formatCode>
                <c:ptCount val="7"/>
                <c:pt idx="0" formatCode="0.0000%">
                  <c:v>2.1049382716049381E-5</c:v>
                </c:pt>
                <c:pt idx="1">
                  <c:v>1.8260168211566657E-2</c:v>
                </c:pt>
                <c:pt idx="2">
                  <c:v>3.6499287040417265E-2</c:v>
                </c:pt>
                <c:pt idx="3">
                  <c:v>5.473840586926787E-2</c:v>
                </c:pt>
                <c:pt idx="4">
                  <c:v>7.2977524698118482E-2</c:v>
                </c:pt>
                <c:pt idx="5">
                  <c:v>9.1216643526969093E-2</c:v>
                </c:pt>
                <c:pt idx="6">
                  <c:v>0.10945576235581969</c:v>
                </c:pt>
              </c:numCache>
            </c:numRef>
          </c:yVal>
          <c:smooth val="1"/>
          <c:extLst>
            <c:ext xmlns:c15="http://schemas.microsoft.com/office/drawing/2012/chart" uri="{02D57815-91ED-43cb-92C2-25804820EDAC}">
              <c15:filteredSeriesTitle>
                <c15:tx>
                  <c:v>cal</c:v>
                </c15:tx>
              </c15:filteredSeriesTitle>
            </c:ext>
            <c:ext xmlns:c16="http://schemas.microsoft.com/office/drawing/2014/chart" uri="{C3380CC4-5D6E-409C-BE32-E72D297353CC}">
              <c16:uniqueId val="{00000002-B1C6-40F5-968D-384537F47881}"/>
            </c:ext>
          </c:extLst>
        </c:ser>
        <c:ser>
          <c:idx val="1"/>
          <c:order val="1"/>
          <c:spPr>
            <a:ln w="19050" cap="rnd">
              <a:solidFill>
                <a:schemeClr val="accent5"/>
              </a:solidFill>
              <a:round/>
            </a:ln>
            <a:effectLst/>
          </c:spPr>
          <c:marker>
            <c:symbol val="circle"/>
            <c:size val="5"/>
            <c:spPr>
              <a:solidFill>
                <a:schemeClr val="accent5"/>
              </a:solidFill>
              <a:ln w="9525">
                <a:solidFill>
                  <a:schemeClr val="accent5"/>
                </a:solidFill>
              </a:ln>
              <a:effectLst/>
            </c:spPr>
          </c:marker>
          <c:dPt>
            <c:idx val="3"/>
            <c:marker>
              <c:spPr>
                <a:solidFill>
                  <a:srgbClr val="FF0000"/>
                </a:solidFill>
                <a:ln w="9525">
                  <a:solidFill>
                    <a:schemeClr val="accent5"/>
                  </a:solidFill>
                </a:ln>
                <a:effectLst/>
              </c:spPr>
            </c:marker>
            <c:bubble3D val="0"/>
            <c:extLst>
              <c:ext xmlns:c16="http://schemas.microsoft.com/office/drawing/2014/chart" uri="{C3380CC4-5D6E-409C-BE32-E72D297353CC}">
                <c16:uniqueId val="{00000004-B1C6-40F5-968D-384537F47881}"/>
              </c:ext>
            </c:extLst>
          </c:dPt>
          <c:xVal>
            <c:numRef>
              <c:f>'Efficient Frontier &amp; Specific '!$M$27:$M$36</c:f>
              <c:numCache>
                <c:formatCode>0.00%</c:formatCode>
                <c:ptCount val="10"/>
                <c:pt idx="0">
                  <c:v>1.5362092692637892E-2</c:v>
                </c:pt>
                <c:pt idx="1">
                  <c:v>1.349226205822497E-2</c:v>
                </c:pt>
                <c:pt idx="2">
                  <c:v>1.3405027978842157E-2</c:v>
                </c:pt>
                <c:pt idx="3">
                  <c:v>1.372502031411516E-2</c:v>
                </c:pt>
                <c:pt idx="4">
                  <c:v>1.5324097298549395E-2</c:v>
                </c:pt>
                <c:pt idx="5">
                  <c:v>2.1167756718311254E-2</c:v>
                </c:pt>
                <c:pt idx="6">
                  <c:v>2.8666689155413604E-2</c:v>
                </c:pt>
                <c:pt idx="7">
                  <c:v>3.6823136453355387E-2</c:v>
                </c:pt>
                <c:pt idx="8">
                  <c:v>0.10876488603323385</c:v>
                </c:pt>
                <c:pt idx="9">
                  <c:v>0.11865569689407451</c:v>
                </c:pt>
              </c:numCache>
            </c:numRef>
          </c:xVal>
          <c:yVal>
            <c:numRef>
              <c:f>'Efficient Frontier &amp; Specific '!$N$27:$N$36</c:f>
              <c:numCache>
                <c:formatCode>0.00%</c:formatCode>
                <c:ptCount val="10"/>
                <c:pt idx="0">
                  <c:v>-3.9999999815890155E-3</c:v>
                </c:pt>
                <c:pt idx="1">
                  <c:v>3.8387380188638354E-11</c:v>
                </c:pt>
                <c:pt idx="2">
                  <c:v>1.0263808605082145E-3</c:v>
                </c:pt>
                <c:pt idx="3">
                  <c:v>2.9999001896225392E-3</c:v>
                </c:pt>
                <c:pt idx="4">
                  <c:v>5.9999999664120942E-3</c:v>
                </c:pt>
                <c:pt idx="5">
                  <c:v>1.1999999827707553E-2</c:v>
                </c:pt>
                <c:pt idx="6">
                  <c:v>1.8000000000660259E-2</c:v>
                </c:pt>
                <c:pt idx="7">
                  <c:v>2.4000000024403299E-2</c:v>
                </c:pt>
                <c:pt idx="8">
                  <c:v>7.2977524698118482E-2</c:v>
                </c:pt>
                <c:pt idx="9">
                  <c:v>8.0000000201738475E-2</c:v>
                </c:pt>
              </c:numCache>
            </c:numRef>
          </c:yVal>
          <c:smooth val="1"/>
          <c:extLst>
            <c:ext xmlns:c15="http://schemas.microsoft.com/office/drawing/2012/chart" uri="{02D57815-91ED-43cb-92C2-25804820EDAC}">
              <c15:filteredSeriesTitle>
                <c15:tx>
                  <c:v>portfolio</c:v>
                </c15:tx>
              </c15:filteredSeriesTitle>
            </c:ext>
            <c:ext xmlns:c16="http://schemas.microsoft.com/office/drawing/2014/chart" uri="{C3380CC4-5D6E-409C-BE32-E72D297353CC}">
              <c16:uniqueId val="{00000005-B1C6-40F5-968D-384537F47881}"/>
            </c:ext>
          </c:extLst>
        </c:ser>
        <c:dLbls>
          <c:showLegendKey val="0"/>
          <c:showVal val="0"/>
          <c:showCatName val="0"/>
          <c:showSerName val="0"/>
          <c:showPercent val="0"/>
          <c:showBubbleSize val="0"/>
        </c:dLbls>
        <c:axId val="1576472832"/>
        <c:axId val="1576664032"/>
      </c:scatterChart>
      <c:valAx>
        <c:axId val="1576472832"/>
        <c:scaling>
          <c:orientation val="minMax"/>
        </c:scaling>
        <c:delete val="0"/>
        <c:axPos val="b"/>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76664032"/>
        <c:crosses val="autoZero"/>
        <c:crossBetween val="midCat"/>
      </c:valAx>
      <c:valAx>
        <c:axId val="1576664032"/>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76472832"/>
        <c:crosses val="autoZero"/>
        <c:crossBetween val="midCat"/>
      </c:valAx>
      <c:spPr>
        <a:noFill/>
        <a:ln w="25400">
          <a:noFill/>
        </a:ln>
        <a:effectLst/>
      </c:spPr>
    </c:plotArea>
    <c:plotVisOnly val="1"/>
    <c:dispBlanksAs val="gap"/>
    <c:showDLblsOverMax val="0"/>
  </c:chart>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 VOLATALITY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'Changing the data +2% Vol'!$N$27:$N$37</c:f>
              <c:numCache>
                <c:formatCode>0.00%</c:formatCode>
                <c:ptCount val="11"/>
                <c:pt idx="0">
                  <c:v>1.447458837423408E-2</c:v>
                </c:pt>
                <c:pt idx="1">
                  <c:v>1.383590064372257E-2</c:v>
                </c:pt>
                <c:pt idx="2">
                  <c:v>1.3536872943359578E-2</c:v>
                </c:pt>
                <c:pt idx="3">
                  <c:v>1.3904614951468516E-2</c:v>
                </c:pt>
                <c:pt idx="4">
                  <c:v>1.7269816808350141E-2</c:v>
                </c:pt>
                <c:pt idx="5">
                  <c:v>2.2739220589920887E-2</c:v>
                </c:pt>
                <c:pt idx="6">
                  <c:v>2.9151656543048705E-2</c:v>
                </c:pt>
                <c:pt idx="7">
                  <c:v>3.6006600040357335E-2</c:v>
                </c:pt>
                <c:pt idx="8">
                  <c:v>4.309531276571358E-2</c:v>
                </c:pt>
                <c:pt idx="9">
                  <c:v>7.2480989543070792E-2</c:v>
                </c:pt>
                <c:pt idx="10">
                  <c:v>8.725125410753308E-2</c:v>
                </c:pt>
              </c:numCache>
            </c:numRef>
          </c:xVal>
          <c:yVal>
            <c:numRef>
              <c:f>'Changing the data +2% Vol'!$O$27:$O$37</c:f>
              <c:numCache>
                <c:formatCode>0.00%</c:formatCode>
                <c:ptCount val="11"/>
                <c:pt idx="0">
                  <c:v>-3.0000000996304298E-3</c:v>
                </c:pt>
                <c:pt idx="1">
                  <c:v>2.9799353976696537E-9</c:v>
                </c:pt>
                <c:pt idx="2">
                  <c:v>3.7908003738011163E-3</c:v>
                </c:pt>
                <c:pt idx="3">
                  <c:v>8.0000001681177855E-3</c:v>
                </c:pt>
                <c:pt idx="4">
                  <c:v>1.8000000022828363E-2</c:v>
                </c:pt>
                <c:pt idx="5">
                  <c:v>2.7999999954032684E-2</c:v>
                </c:pt>
                <c:pt idx="6">
                  <c:v>3.8000027981024739E-2</c:v>
                </c:pt>
                <c:pt idx="7">
                  <c:v>4.7999999935538246E-2</c:v>
                </c:pt>
                <c:pt idx="8">
                  <c:v>5.7999999971648286E-2</c:v>
                </c:pt>
                <c:pt idx="9">
                  <c:v>9.8139273276901917E-2</c:v>
                </c:pt>
                <c:pt idx="10">
                  <c:v>0.11799999988717388</c:v>
                </c:pt>
              </c:numCache>
            </c:numRef>
          </c:yVal>
          <c:smooth val="1"/>
          <c:extLst>
            <c:ext xmlns:c16="http://schemas.microsoft.com/office/drawing/2014/chart" uri="{C3380CC4-5D6E-409C-BE32-E72D297353CC}">
              <c16:uniqueId val="{00000000-D562-FD48-8C88-0141A8434775}"/>
            </c:ext>
          </c:extLst>
        </c:ser>
        <c:ser>
          <c:idx val="1"/>
          <c:order val="1"/>
          <c:tx>
            <c:v>CAL</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'Changing the data +2% Vol'!$N$44:$N$50</c:f>
              <c:numCache>
                <c:formatCode>0.00%</c:formatCode>
                <c:ptCount val="7"/>
                <c:pt idx="0">
                  <c:v>0</c:v>
                </c:pt>
                <c:pt idx="1">
                  <c:v>1.8120247385767698E-2</c:v>
                </c:pt>
                <c:pt idx="2">
                  <c:v>3.6240494771535396E-2</c:v>
                </c:pt>
                <c:pt idx="3">
                  <c:v>5.4360742157303091E-2</c:v>
                </c:pt>
                <c:pt idx="4">
                  <c:v>7.2480989543070792E-2</c:v>
                </c:pt>
                <c:pt idx="5">
                  <c:v>9.0601236928838494E-2</c:v>
                </c:pt>
                <c:pt idx="6">
                  <c:v>0.10872148431460618</c:v>
                </c:pt>
              </c:numCache>
            </c:numRef>
          </c:xVal>
          <c:yVal>
            <c:numRef>
              <c:f>'Changing the data +2% Vol'!$O$44:$O$50</c:f>
              <c:numCache>
                <c:formatCode>0.0000%</c:formatCode>
                <c:ptCount val="7"/>
                <c:pt idx="0">
                  <c:v>0</c:v>
                </c:pt>
                <c:pt idx="1">
                  <c:v>2.4534818319225479E-2</c:v>
                </c:pt>
                <c:pt idx="2">
                  <c:v>4.9069636638450959E-2</c:v>
                </c:pt>
                <c:pt idx="3">
                  <c:v>7.3604454957676438E-2</c:v>
                </c:pt>
                <c:pt idx="4">
                  <c:v>9.8139273276901917E-2</c:v>
                </c:pt>
                <c:pt idx="5">
                  <c:v>0.1226740915961274</c:v>
                </c:pt>
                <c:pt idx="6">
                  <c:v>0.14720890991535288</c:v>
                </c:pt>
              </c:numCache>
            </c:numRef>
          </c:yVal>
          <c:smooth val="1"/>
          <c:extLst>
            <c:ext xmlns:c16="http://schemas.microsoft.com/office/drawing/2014/chart" uri="{C3380CC4-5D6E-409C-BE32-E72D297353CC}">
              <c16:uniqueId val="{00000000-D4B2-48AC-8EA9-E4525C74C8ED}"/>
            </c:ext>
          </c:extLst>
        </c:ser>
        <c:dLbls>
          <c:showLegendKey val="0"/>
          <c:showVal val="0"/>
          <c:showCatName val="0"/>
          <c:showSerName val="0"/>
          <c:showPercent val="0"/>
          <c:showBubbleSize val="0"/>
        </c:dLbls>
        <c:axId val="1713138799"/>
        <c:axId val="1713140511"/>
      </c:scatterChart>
      <c:valAx>
        <c:axId val="17131387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13140511"/>
        <c:crosses val="autoZero"/>
        <c:crossBetween val="midCat"/>
      </c:valAx>
      <c:valAx>
        <c:axId val="17131405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131387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'Diversity 9 assets'!$L$24:$L$34</c:f>
              <c:numCache>
                <c:formatCode>0.00%</c:formatCode>
                <c:ptCount val="11"/>
                <c:pt idx="0">
                  <c:v>1.3682958462831176E-2</c:v>
                </c:pt>
                <c:pt idx="1">
                  <c:v>1.3445051136534575E-2</c:v>
                </c:pt>
                <c:pt idx="2">
                  <c:v>1.3530300519267463E-2</c:v>
                </c:pt>
                <c:pt idx="3">
                  <c:v>1.3792583104098928E-2</c:v>
                </c:pt>
                <c:pt idx="4">
                  <c:v>1.4222188090343032E-2</c:v>
                </c:pt>
                <c:pt idx="5">
                  <c:v>1.5522503395469428E-2</c:v>
                </c:pt>
                <c:pt idx="6">
                  <c:v>1.7294555576300386E-2</c:v>
                </c:pt>
                <c:pt idx="7">
                  <c:v>1.9409549913551063E-2</c:v>
                </c:pt>
                <c:pt idx="8">
                  <c:v>2.9698586271058001E-2</c:v>
                </c:pt>
                <c:pt idx="9">
                  <c:v>9.6910263533305299E-2</c:v>
                </c:pt>
                <c:pt idx="10">
                  <c:v>0.1391602035853361</c:v>
                </c:pt>
              </c:numCache>
            </c:numRef>
          </c:xVal>
          <c:yVal>
            <c:numRef>
              <c:f>'Diversity 9 assets'!$M$24:$M$34</c:f>
              <c:numCache>
                <c:formatCode>0.00%</c:formatCode>
                <c:ptCount val="11"/>
                <c:pt idx="0">
                  <c:v>-4.0000001230195651E-4</c:v>
                </c:pt>
                <c:pt idx="1">
                  <c:v>1.22814496394545E-3</c:v>
                </c:pt>
                <c:pt idx="2">
                  <c:v>2.1999999728360654E-3</c:v>
                </c:pt>
                <c:pt idx="3">
                  <c:v>3.2000000185040205E-3</c:v>
                </c:pt>
                <c:pt idx="4">
                  <c:v>4.1999999996317787E-3</c:v>
                </c:pt>
                <c:pt idx="5">
                  <c:v>6.200000022536946E-3</c:v>
                </c:pt>
                <c:pt idx="6">
                  <c:v>8.2000061968638561E-3</c:v>
                </c:pt>
                <c:pt idx="7">
                  <c:v>1.0199999995685879E-2</c:v>
                </c:pt>
                <c:pt idx="8">
                  <c:v>1.8200000001236442E-2</c:v>
                </c:pt>
                <c:pt idx="9">
                  <c:v>6.2738205721324325E-2</c:v>
                </c:pt>
                <c:pt idx="10">
                  <c:v>9.0000000854597625E-2</c:v>
                </c:pt>
              </c:numCache>
            </c:numRef>
          </c:yVal>
          <c:smooth val="1"/>
          <c:extLst>
            <c:ext xmlns:c16="http://schemas.microsoft.com/office/drawing/2014/chart" uri="{C3380CC4-5D6E-409C-BE32-E72D297353CC}">
              <c16:uniqueId val="{00000001-8CCA-1045-882D-5EDBAF9B3125}"/>
            </c:ext>
          </c:extLst>
        </c:ser>
        <c:ser>
          <c:idx val="1"/>
          <c:order val="1"/>
          <c:tx>
            <c:v>C</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'Diversity 9 assets'!$L$42:$L$48</c:f>
              <c:numCache>
                <c:formatCode>0.00%</c:formatCode>
                <c:ptCount val="7"/>
                <c:pt idx="0">
                  <c:v>0</c:v>
                </c:pt>
                <c:pt idx="1">
                  <c:v>2.4227565883326325E-2</c:v>
                </c:pt>
                <c:pt idx="2">
                  <c:v>4.845513176665265E-2</c:v>
                </c:pt>
                <c:pt idx="3">
                  <c:v>7.2682697649978978E-2</c:v>
                </c:pt>
                <c:pt idx="4">
                  <c:v>9.6910263533305299E-2</c:v>
                </c:pt>
                <c:pt idx="5">
                  <c:v>0.12113782941663162</c:v>
                </c:pt>
                <c:pt idx="6">
                  <c:v>0.14536539529995796</c:v>
                </c:pt>
              </c:numCache>
            </c:numRef>
          </c:xVal>
          <c:yVal>
            <c:numRef>
              <c:f>'Diversity 9 assets'!$M$42:$M$48</c:f>
              <c:numCache>
                <c:formatCode>0.00%</c:formatCode>
                <c:ptCount val="7"/>
                <c:pt idx="0">
                  <c:v>2.1049382716049381E-5</c:v>
                </c:pt>
                <c:pt idx="1">
                  <c:v>1.5700338467368118E-2</c:v>
                </c:pt>
                <c:pt idx="2">
                  <c:v>3.1379627552020187E-2</c:v>
                </c:pt>
                <c:pt idx="3">
                  <c:v>4.7058916636672256E-2</c:v>
                </c:pt>
                <c:pt idx="4">
                  <c:v>6.2738205721324325E-2</c:v>
                </c:pt>
                <c:pt idx="5">
                  <c:v>7.8417494805976401E-2</c:v>
                </c:pt>
                <c:pt idx="6">
                  <c:v>9.4096783890628463E-2</c:v>
                </c:pt>
              </c:numCache>
            </c:numRef>
          </c:yVal>
          <c:smooth val="1"/>
          <c:extLst>
            <c:ext xmlns:c16="http://schemas.microsoft.com/office/drawing/2014/chart" uri="{C3380CC4-5D6E-409C-BE32-E72D297353CC}">
              <c16:uniqueId val="{00000000-E124-4A8D-B9D4-185CF8D650A0}"/>
            </c:ext>
          </c:extLst>
        </c:ser>
        <c:dLbls>
          <c:showLegendKey val="0"/>
          <c:showVal val="0"/>
          <c:showCatName val="0"/>
          <c:showSerName val="0"/>
          <c:showPercent val="0"/>
          <c:showBubbleSize val="0"/>
        </c:dLbls>
        <c:axId val="1576472832"/>
        <c:axId val="1576664032"/>
      </c:scatterChart>
      <c:valAx>
        <c:axId val="157647283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76664032"/>
        <c:crosses val="autoZero"/>
        <c:crossBetween val="midCat"/>
      </c:valAx>
      <c:valAx>
        <c:axId val="15766640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76472832"/>
        <c:crosses val="autoZero"/>
        <c:crossBetween val="midCat"/>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18</xdr:col>
      <xdr:colOff>73837</xdr:colOff>
      <xdr:row>16</xdr:row>
      <xdr:rowOff>88605</xdr:rowOff>
    </xdr:from>
    <xdr:to>
      <xdr:col>26</xdr:col>
      <xdr:colOff>73837</xdr:colOff>
      <xdr:row>41</xdr:row>
      <xdr:rowOff>73837</xdr:rowOff>
    </xdr:to>
    <xdr:graphicFrame macro="">
      <xdr:nvGraphicFramePr>
        <xdr:cNvPr id="2" name="Graphique 1">
          <a:extLst>
            <a:ext uri="{FF2B5EF4-FFF2-40B4-BE49-F238E27FC236}">
              <a16:creationId xmlns:a16="http://schemas.microsoft.com/office/drawing/2014/main" id="{3F9DA1B0-ED38-A199-FDFE-2F4F40CC5A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18</xdr:col>
      <xdr:colOff>488329</xdr:colOff>
      <xdr:row>30</xdr:row>
      <xdr:rowOff>99376</xdr:rowOff>
    </xdr:from>
    <xdr:to>
      <xdr:col>27</xdr:col>
      <xdr:colOff>306917</xdr:colOff>
      <xdr:row>49</xdr:row>
      <xdr:rowOff>21166</xdr:rowOff>
    </xdr:to>
    <xdr:graphicFrame macro="">
      <xdr:nvGraphicFramePr>
        <xdr:cNvPr id="6" name="Graphique 5">
          <a:extLst>
            <a:ext uri="{FF2B5EF4-FFF2-40B4-BE49-F238E27FC236}">
              <a16:creationId xmlns:a16="http://schemas.microsoft.com/office/drawing/2014/main" id="{30B75A3F-CF5A-8990-DFDF-CC13B7AC87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461815</xdr:colOff>
      <xdr:row>14</xdr:row>
      <xdr:rowOff>25656</xdr:rowOff>
    </xdr:from>
    <xdr:to>
      <xdr:col>27</xdr:col>
      <xdr:colOff>571500</xdr:colOff>
      <xdr:row>28</xdr:row>
      <xdr:rowOff>179917</xdr:rowOff>
    </xdr:to>
    <xdr:graphicFrame macro="">
      <xdr:nvGraphicFramePr>
        <xdr:cNvPr id="7" name="Graphique 6">
          <a:extLst>
            <a:ext uri="{FF2B5EF4-FFF2-40B4-BE49-F238E27FC236}">
              <a16:creationId xmlns:a16="http://schemas.microsoft.com/office/drawing/2014/main" id="{410EDBB4-DD5B-5347-82BA-3A4C427FF3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19</xdr:col>
      <xdr:colOff>824858</xdr:colOff>
      <xdr:row>17</xdr:row>
      <xdr:rowOff>154965</xdr:rowOff>
    </xdr:from>
    <xdr:to>
      <xdr:col>29</xdr:col>
      <xdr:colOff>169334</xdr:colOff>
      <xdr:row>41</xdr:row>
      <xdr:rowOff>31750</xdr:rowOff>
    </xdr:to>
    <xdr:graphicFrame macro="">
      <xdr:nvGraphicFramePr>
        <xdr:cNvPr id="4" name="Graphique 3">
          <a:extLst>
            <a:ext uri="{FF2B5EF4-FFF2-40B4-BE49-F238E27FC236}">
              <a16:creationId xmlns:a16="http://schemas.microsoft.com/office/drawing/2014/main" id="{31D930B9-7873-3ECD-86A7-53B9817263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19843</xdr:colOff>
      <xdr:row>22</xdr:row>
      <xdr:rowOff>158750</xdr:rowOff>
    </xdr:from>
    <xdr:to>
      <xdr:col>24</xdr:col>
      <xdr:colOff>535982</xdr:colOff>
      <xdr:row>49</xdr:row>
      <xdr:rowOff>94957</xdr:rowOff>
    </xdr:to>
    <xdr:graphicFrame macro="">
      <xdr:nvGraphicFramePr>
        <xdr:cNvPr id="2" name="Graphique 1">
          <a:extLst>
            <a:ext uri="{FF2B5EF4-FFF2-40B4-BE49-F238E27FC236}">
              <a16:creationId xmlns:a16="http://schemas.microsoft.com/office/drawing/2014/main" id="{6F379173-C4C6-B24C-971C-EFC063293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SPY ETF Stock Price History (1)" connectionId="1" xr16:uid="{03F7BEBA-6E0B-8E4E-8AA1-8EFB9D1BF3E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2BAA1-D19E-CB4B-B06B-229EA8580ACE}">
  <dimension ref="A2:AS291"/>
  <sheetViews>
    <sheetView showGridLines="0" topLeftCell="K1" zoomScale="50" zoomScaleNormal="40" workbookViewId="0">
      <selection activeCell="AD4" sqref="AD4"/>
    </sheetView>
  </sheetViews>
  <sheetFormatPr baseColWidth="10" defaultColWidth="10.6640625" defaultRowHeight="16"/>
  <cols>
    <col min="1" max="1" width="12.1640625" customWidth="1"/>
    <col min="2" max="2" width="8.33203125" customWidth="1"/>
    <col min="3" max="3" width="7.5" customWidth="1"/>
    <col min="4" max="4" width="7.1640625" bestFit="1" customWidth="1"/>
    <col min="5" max="5" width="10.1640625" style="108" customWidth="1"/>
    <col min="6" max="6" width="8.1640625" style="109" customWidth="1"/>
    <col min="7" max="7" width="7.1640625" customWidth="1"/>
    <col min="8" max="9" width="8.83203125" customWidth="1"/>
    <col min="13" max="20" width="11" bestFit="1" customWidth="1"/>
    <col min="21" max="22" width="11.1640625" bestFit="1" customWidth="1"/>
    <col min="23" max="23" width="10.6640625" customWidth="1"/>
    <col min="24" max="24" width="31.1640625" customWidth="1"/>
    <col min="25" max="34" width="11.1640625" bestFit="1" customWidth="1"/>
    <col min="36" max="36" width="11.1640625" bestFit="1" customWidth="1"/>
    <col min="37" max="37" width="12.6640625" bestFit="1" customWidth="1"/>
    <col min="38" max="38" width="12.1640625" bestFit="1" customWidth="1"/>
    <col min="39" max="39" width="12.6640625" bestFit="1" customWidth="1"/>
    <col min="40" max="40" width="14.1640625" bestFit="1" customWidth="1"/>
    <col min="41" max="44" width="12.6640625" bestFit="1" customWidth="1"/>
    <col min="45" max="45" width="12.5" customWidth="1"/>
  </cols>
  <sheetData>
    <row r="2" spans="1:45">
      <c r="A2" s="49"/>
      <c r="B2" s="162" t="s">
        <v>1</v>
      </c>
      <c r="C2" s="162"/>
      <c r="D2" s="162"/>
      <c r="E2" s="162"/>
      <c r="F2" s="162"/>
      <c r="G2" s="162"/>
      <c r="H2" s="162"/>
      <c r="I2" s="162"/>
      <c r="J2" s="162"/>
      <c r="K2" s="162"/>
      <c r="M2" s="163" t="s">
        <v>5</v>
      </c>
      <c r="N2" s="163"/>
      <c r="O2" s="163"/>
      <c r="P2" s="163"/>
      <c r="Q2" s="163"/>
      <c r="R2" s="163"/>
      <c r="S2" s="163"/>
      <c r="T2" s="163"/>
      <c r="U2" s="163"/>
      <c r="V2" s="163"/>
      <c r="X2" s="164" t="s">
        <v>6</v>
      </c>
      <c r="Y2" s="164"/>
      <c r="Z2" s="164"/>
      <c r="AA2" s="164"/>
      <c r="AB2" s="164"/>
      <c r="AC2" s="164"/>
      <c r="AD2" s="164"/>
      <c r="AE2" s="164"/>
      <c r="AF2" s="164"/>
      <c r="AG2" s="164"/>
      <c r="AH2" s="164"/>
    </row>
    <row r="3" spans="1:45">
      <c r="A3" s="110" t="s">
        <v>0</v>
      </c>
      <c r="B3" s="2" t="s">
        <v>2</v>
      </c>
      <c r="C3" s="2" t="s">
        <v>50</v>
      </c>
      <c r="D3" s="2" t="s">
        <v>51</v>
      </c>
      <c r="E3" s="2" t="s">
        <v>52</v>
      </c>
      <c r="F3" s="2" t="s">
        <v>53</v>
      </c>
      <c r="G3" s="2" t="s">
        <v>54</v>
      </c>
      <c r="H3" s="2" t="s">
        <v>3</v>
      </c>
      <c r="I3" s="2" t="s">
        <v>55</v>
      </c>
      <c r="J3" s="2" t="s">
        <v>4</v>
      </c>
      <c r="K3" s="2" t="s">
        <v>56</v>
      </c>
      <c r="M3" s="2" t="s">
        <v>2</v>
      </c>
      <c r="N3" s="2" t="s">
        <v>50</v>
      </c>
      <c r="O3" s="2" t="s">
        <v>51</v>
      </c>
      <c r="P3" s="2" t="s">
        <v>52</v>
      </c>
      <c r="Q3" s="2" t="s">
        <v>53</v>
      </c>
      <c r="R3" s="2" t="s">
        <v>54</v>
      </c>
      <c r="S3" s="2" t="s">
        <v>3</v>
      </c>
      <c r="T3" s="2" t="s">
        <v>55</v>
      </c>
      <c r="U3" s="2" t="s">
        <v>4</v>
      </c>
      <c r="V3" s="2" t="s">
        <v>56</v>
      </c>
      <c r="X3" s="5"/>
      <c r="Y3" s="2" t="s">
        <v>2</v>
      </c>
      <c r="Z3" s="2" t="s">
        <v>50</v>
      </c>
      <c r="AA3" s="2" t="s">
        <v>51</v>
      </c>
      <c r="AB3" s="2" t="s">
        <v>52</v>
      </c>
      <c r="AC3" s="2" t="s">
        <v>53</v>
      </c>
      <c r="AD3" s="2" t="s">
        <v>54</v>
      </c>
      <c r="AE3" s="2" t="s">
        <v>3</v>
      </c>
      <c r="AF3" s="2" t="s">
        <v>55</v>
      </c>
      <c r="AG3" s="2" t="s">
        <v>4</v>
      </c>
      <c r="AH3" s="2" t="s">
        <v>56</v>
      </c>
    </row>
    <row r="4" spans="1:45">
      <c r="A4" s="49">
        <v>43496</v>
      </c>
      <c r="B4">
        <v>244.83799999999999</v>
      </c>
      <c r="C4">
        <v>45.747</v>
      </c>
      <c r="D4">
        <v>37.0077</v>
      </c>
      <c r="E4" s="108">
        <v>101.081</v>
      </c>
      <c r="F4" s="108">
        <v>109.187</v>
      </c>
      <c r="G4">
        <v>104.61199999999999</v>
      </c>
      <c r="H4" s="108">
        <v>73.401300000000006</v>
      </c>
      <c r="I4" s="108">
        <v>124.75</v>
      </c>
      <c r="J4" s="108">
        <v>15.279</v>
      </c>
      <c r="K4" s="108">
        <v>3450.66</v>
      </c>
      <c r="X4" s="6" t="s">
        <v>57</v>
      </c>
      <c r="Y4" s="1">
        <f>AVERAGE(M5:M87)</f>
        <v>1.3353828920087674E-2</v>
      </c>
      <c r="Z4" s="1">
        <f t="shared" ref="Z4:AH4" si="0">AVERAGE(N5:N87)</f>
        <v>8.4964114811374586E-3</v>
      </c>
      <c r="AA4" s="1">
        <f t="shared" si="0"/>
        <v>5.4307927354481028E-3</v>
      </c>
      <c r="AB4" s="1">
        <f t="shared" si="0"/>
        <v>-3.3629337690558328E-4</v>
      </c>
      <c r="AC4" s="1">
        <f t="shared" si="0"/>
        <v>5.1088611779445811E-4</v>
      </c>
      <c r="AD4" s="1">
        <f t="shared" si="0"/>
        <v>7.9045932563296274E-4</v>
      </c>
      <c r="AE4" s="1">
        <f t="shared" si="0"/>
        <v>3.891999054814182E-3</v>
      </c>
      <c r="AF4" s="1">
        <f t="shared" si="0"/>
        <v>1.4965569872160762E-2</v>
      </c>
      <c r="AG4" s="1">
        <f t="shared" si="0"/>
        <v>6.0828470658512877E-3</v>
      </c>
      <c r="AH4" s="1">
        <f t="shared" si="0"/>
        <v>5.7898273179662139E-2</v>
      </c>
    </row>
    <row r="5" spans="1:45">
      <c r="A5" s="49">
        <v>43524</v>
      </c>
      <c r="B5">
        <v>252.81100000000001</v>
      </c>
      <c r="C5">
        <v>47.194800000000001</v>
      </c>
      <c r="D5">
        <v>36.866100000000003</v>
      </c>
      <c r="E5" s="108">
        <v>100.544</v>
      </c>
      <c r="F5" s="108">
        <v>108.94799999999999</v>
      </c>
      <c r="G5">
        <v>104.42400000000001</v>
      </c>
      <c r="H5" s="108">
        <v>73.909499999999994</v>
      </c>
      <c r="I5" s="108">
        <v>123.99</v>
      </c>
      <c r="J5" s="108">
        <v>15.712</v>
      </c>
      <c r="K5" s="108">
        <v>3829.95</v>
      </c>
      <c r="M5" s="4">
        <f>(B5-B4)/B4</f>
        <v>3.2564389514699567E-2</v>
      </c>
      <c r="N5" s="4">
        <f t="shared" ref="N5:V5" si="1">(C5-C4)/C4</f>
        <v>3.1647976916519133E-2</v>
      </c>
      <c r="O5" s="4">
        <f t="shared" si="1"/>
        <v>-3.8262307573828378E-3</v>
      </c>
      <c r="P5" s="4">
        <f t="shared" si="1"/>
        <v>-5.31257110634052E-3</v>
      </c>
      <c r="Q5" s="4">
        <f t="shared" si="1"/>
        <v>-2.1889052726057527E-3</v>
      </c>
      <c r="R5" s="4">
        <f t="shared" si="1"/>
        <v>-1.7971169655487725E-3</v>
      </c>
      <c r="S5" s="4">
        <f t="shared" si="1"/>
        <v>6.9235830973019274E-3</v>
      </c>
      <c r="T5" s="4">
        <f t="shared" si="1"/>
        <v>-6.0921843687375158E-3</v>
      </c>
      <c r="U5" s="4">
        <f t="shared" si="1"/>
        <v>2.8339551017736751E-2</v>
      </c>
      <c r="V5" s="4">
        <f t="shared" si="1"/>
        <v>0.10991810262384587</v>
      </c>
      <c r="X5" s="6" t="s">
        <v>7</v>
      </c>
      <c r="Y5" s="7">
        <f>(1+Y4)^12-1</f>
        <v>0.17255535280758205</v>
      </c>
      <c r="Z5" s="7">
        <f t="shared" ref="Z5:AH5" si="2">(1+Z4)^12-1</f>
        <v>0.10685896374677983</v>
      </c>
      <c r="AA5" s="7">
        <f t="shared" si="2"/>
        <v>6.7151756907863902E-2</v>
      </c>
      <c r="AB5" s="7">
        <f t="shared" si="2"/>
        <v>-4.0280647301573769E-3</v>
      </c>
      <c r="AC5" s="7">
        <f t="shared" si="2"/>
        <v>6.147889088155889E-3</v>
      </c>
      <c r="AD5" s="7">
        <f t="shared" si="2"/>
        <v>9.5268592713821931E-3</v>
      </c>
      <c r="AE5" s="7">
        <f t="shared" si="2"/>
        <v>4.7716818311549947E-2</v>
      </c>
      <c r="AF5" s="7">
        <f t="shared" si="2"/>
        <v>0.19513157906035272</v>
      </c>
      <c r="AG5" s="7">
        <f t="shared" si="2"/>
        <v>7.5486432753156807E-2</v>
      </c>
      <c r="AH5" s="7">
        <f t="shared" si="2"/>
        <v>0.964838678303922</v>
      </c>
    </row>
    <row r="6" spans="1:45">
      <c r="A6" s="49">
        <v>43555</v>
      </c>
      <c r="B6">
        <v>257.35500000000002</v>
      </c>
      <c r="C6">
        <v>47.556199999999997</v>
      </c>
      <c r="D6">
        <v>37.716900000000003</v>
      </c>
      <c r="E6" s="108">
        <v>103.264</v>
      </c>
      <c r="F6" s="108">
        <v>112.16</v>
      </c>
      <c r="G6">
        <v>106.514</v>
      </c>
      <c r="H6" s="108">
        <v>77.030600000000007</v>
      </c>
      <c r="I6" s="108">
        <v>122.01</v>
      </c>
      <c r="J6" s="108">
        <v>15.653</v>
      </c>
      <c r="K6" s="108">
        <v>4101.72</v>
      </c>
      <c r="M6" s="4">
        <f t="shared" ref="M6:M69" si="3">(B6-B5)/B5</f>
        <v>1.7973901452072935E-2</v>
      </c>
      <c r="N6" s="4">
        <f t="shared" ref="N6:N69" si="4">(C6-C5)/C5</f>
        <v>7.6576232974818444E-3</v>
      </c>
      <c r="O6" s="4">
        <f t="shared" ref="O6:O69" si="5">(D6-D5)/D5</f>
        <v>2.3078112412216086E-2</v>
      </c>
      <c r="P6" s="4">
        <f t="shared" ref="P6:P69" si="6">(E6-E5)/E5</f>
        <v>2.7052832590706545E-2</v>
      </c>
      <c r="Q6" s="4">
        <f t="shared" ref="Q6:Q69" si="7">(F6-F5)/F5</f>
        <v>2.9481954693982484E-2</v>
      </c>
      <c r="R6" s="4">
        <f t="shared" ref="R6:R69" si="8">(G6-G5)/G5</f>
        <v>2.001455604075681E-2</v>
      </c>
      <c r="S6" s="4">
        <f t="shared" ref="S6:S69" si="9">(H6-H5)/H5</f>
        <v>4.222867155101865E-2</v>
      </c>
      <c r="T6" s="4">
        <f t="shared" ref="T6:T69" si="10">(I6-I5)/I5</f>
        <v>-1.5969029760464472E-2</v>
      </c>
      <c r="U6" s="4">
        <f t="shared" ref="U6:U69" si="11">(J6-J5)/J5</f>
        <v>-3.7550916496944548E-3</v>
      </c>
      <c r="V6" s="4">
        <f t="shared" ref="V6:V69" si="12">(K6-K5)/K5</f>
        <v>7.0959150902753412E-2</v>
      </c>
      <c r="X6" s="6" t="s">
        <v>58</v>
      </c>
      <c r="Y6" s="4">
        <f>_xlfn.STDEV.S(M5:M87)</f>
        <v>4.7649232574071006E-2</v>
      </c>
      <c r="Z6" s="4">
        <f t="shared" ref="Z6:AH6" si="13">_xlfn.STDEV.S(N5:N87)</f>
        <v>5.2220982812732616E-2</v>
      </c>
      <c r="AA6" s="4">
        <f t="shared" si="13"/>
        <v>4.6186391648232912E-2</v>
      </c>
      <c r="AB6" s="4">
        <f t="shared" si="13"/>
        <v>2.1051838188021685E-2</v>
      </c>
      <c r="AC6" s="4">
        <f t="shared" si="13"/>
        <v>2.7482966572273355E-2</v>
      </c>
      <c r="AD6" s="4">
        <f t="shared" si="13"/>
        <v>1.7505261780072584E-2</v>
      </c>
      <c r="AE6" s="4">
        <f t="shared" si="13"/>
        <v>5.4720963632938928E-2</v>
      </c>
      <c r="AF6" s="4">
        <f t="shared" si="13"/>
        <v>4.1946018779376655E-2</v>
      </c>
      <c r="AG6" s="4">
        <f t="shared" si="13"/>
        <v>4.9310143184493317E-2</v>
      </c>
      <c r="AH6" s="4">
        <f t="shared" si="13"/>
        <v>0.19956560264135759</v>
      </c>
    </row>
    <row r="7" spans="1:45">
      <c r="A7" s="49">
        <v>43585</v>
      </c>
      <c r="B7">
        <v>267.89299999999997</v>
      </c>
      <c r="C7">
        <v>49.419699999999999</v>
      </c>
      <c r="D7">
        <v>38.526299999999999</v>
      </c>
      <c r="E7" s="108">
        <v>102.726</v>
      </c>
      <c r="F7" s="108">
        <v>112.657</v>
      </c>
      <c r="G7">
        <v>106.742</v>
      </c>
      <c r="H7" s="108">
        <v>76.906700000000001</v>
      </c>
      <c r="I7" s="108">
        <v>121.2</v>
      </c>
      <c r="J7" s="108">
        <v>15.84</v>
      </c>
      <c r="K7" s="108">
        <v>5370.57</v>
      </c>
      <c r="M7" s="4">
        <f t="shared" si="3"/>
        <v>4.0947329564220446E-2</v>
      </c>
      <c r="N7" s="4">
        <f t="shared" si="4"/>
        <v>3.9185216648933305E-2</v>
      </c>
      <c r="O7" s="4">
        <f t="shared" si="5"/>
        <v>2.1459876076771859E-2</v>
      </c>
      <c r="P7" s="4">
        <f t="shared" si="6"/>
        <v>-5.2099473194917563E-3</v>
      </c>
      <c r="Q7" s="4">
        <f t="shared" si="7"/>
        <v>4.4311697574893E-3</v>
      </c>
      <c r="R7" s="4">
        <f t="shared" si="8"/>
        <v>2.1405636817696137E-3</v>
      </c>
      <c r="S7" s="4">
        <f t="shared" si="9"/>
        <v>-1.6084517062051459E-3</v>
      </c>
      <c r="T7" s="4">
        <f t="shared" si="10"/>
        <v>-6.6388000983526128E-3</v>
      </c>
      <c r="U7" s="4">
        <f t="shared" si="11"/>
        <v>1.1946591707659835E-2</v>
      </c>
      <c r="V7" s="4">
        <f t="shared" si="12"/>
        <v>0.30934583540563454</v>
      </c>
      <c r="X7" s="6" t="s">
        <v>8</v>
      </c>
      <c r="Y7" s="7">
        <f>SQRT(12)*Y6</f>
        <v>0.16506178351991388</v>
      </c>
      <c r="Z7" s="7">
        <f t="shared" ref="Z7:AH7" si="14">SQRT(12)*Z6</f>
        <v>0.18089879090566796</v>
      </c>
      <c r="AA7" s="7">
        <f t="shared" si="14"/>
        <v>0.15999435390602851</v>
      </c>
      <c r="AB7" s="7">
        <f t="shared" si="14"/>
        <v>7.292570666874458E-2</v>
      </c>
      <c r="AC7" s="7">
        <f t="shared" si="14"/>
        <v>9.5203788891789043E-2</v>
      </c>
      <c r="AD7" s="7">
        <f t="shared" si="14"/>
        <v>6.0640005605758641E-2</v>
      </c>
      <c r="AE7" s="7">
        <f t="shared" si="14"/>
        <v>0.18955897850275805</v>
      </c>
      <c r="AF7" s="7">
        <f t="shared" si="14"/>
        <v>0.14530527140223726</v>
      </c>
      <c r="AG7" s="7">
        <f t="shared" si="14"/>
        <v>0.17081534664807724</v>
      </c>
      <c r="AH7" s="7">
        <f t="shared" si="14"/>
        <v>0.69131552643586613</v>
      </c>
    </row>
    <row r="8" spans="1:45">
      <c r="A8" s="49">
        <v>43616</v>
      </c>
      <c r="B8">
        <v>250.78100000000001</v>
      </c>
      <c r="C8">
        <v>46.617199999999997</v>
      </c>
      <c r="D8">
        <v>36.0672</v>
      </c>
      <c r="E8" s="108">
        <v>105.85299999999999</v>
      </c>
      <c r="F8" s="108">
        <v>114.47799999999999</v>
      </c>
      <c r="G8">
        <v>108.583</v>
      </c>
      <c r="H8" s="108">
        <v>77.012900000000002</v>
      </c>
      <c r="I8" s="108">
        <v>123.33</v>
      </c>
      <c r="J8" s="108">
        <v>14.895</v>
      </c>
      <c r="K8" s="108">
        <v>8431.7000000000007</v>
      </c>
      <c r="M8" s="4">
        <f t="shared" si="3"/>
        <v>-6.3876249099453761E-2</v>
      </c>
      <c r="N8" s="4">
        <f t="shared" si="4"/>
        <v>-5.6708154845132648E-2</v>
      </c>
      <c r="O8" s="4">
        <f t="shared" si="5"/>
        <v>-6.3829124520132979E-2</v>
      </c>
      <c r="P8" s="4">
        <f t="shared" si="6"/>
        <v>3.0440200144072536E-2</v>
      </c>
      <c r="Q8" s="4">
        <f t="shared" si="7"/>
        <v>1.6164108754893155E-2</v>
      </c>
      <c r="R8" s="4">
        <f t="shared" si="8"/>
        <v>1.7247194169118005E-2</v>
      </c>
      <c r="S8" s="4">
        <f t="shared" si="9"/>
        <v>1.3808939923309826E-3</v>
      </c>
      <c r="T8" s="4">
        <f t="shared" si="10"/>
        <v>1.7574257425742538E-2</v>
      </c>
      <c r="U8" s="4">
        <f t="shared" si="11"/>
        <v>-5.9659090909090925E-2</v>
      </c>
      <c r="V8" s="4">
        <f t="shared" si="12"/>
        <v>0.56998232962236806</v>
      </c>
      <c r="X8" s="8"/>
      <c r="Y8" s="8"/>
      <c r="Z8" s="8"/>
      <c r="AA8" s="8"/>
      <c r="AB8" s="8"/>
      <c r="AC8" s="8"/>
      <c r="AD8" s="8"/>
      <c r="AE8" s="8"/>
      <c r="AF8" s="8"/>
      <c r="AG8" s="8"/>
      <c r="AH8" s="8"/>
    </row>
    <row r="9" spans="1:45" ht="17" thickBot="1">
      <c r="A9" s="49">
        <v>43646</v>
      </c>
      <c r="B9">
        <v>268.24599999999998</v>
      </c>
      <c r="C9">
        <v>49.578600000000002</v>
      </c>
      <c r="D9">
        <v>38.005000000000003</v>
      </c>
      <c r="E9" s="108">
        <v>107.10899999999999</v>
      </c>
      <c r="F9" s="108">
        <v>118.217</v>
      </c>
      <c r="G9">
        <v>109.425</v>
      </c>
      <c r="H9" s="108">
        <v>78.213200000000001</v>
      </c>
      <c r="I9" s="108">
        <v>133.19999999999999</v>
      </c>
      <c r="J9" s="108">
        <v>15.486000000000001</v>
      </c>
      <c r="K9" s="108">
        <v>12315</v>
      </c>
      <c r="M9" s="4">
        <f t="shared" si="3"/>
        <v>6.9642437026728399E-2</v>
      </c>
      <c r="N9" s="4">
        <f t="shared" si="4"/>
        <v>6.3525908891997052E-2</v>
      </c>
      <c r="O9" s="4">
        <f t="shared" si="5"/>
        <v>5.3727486469701081E-2</v>
      </c>
      <c r="P9" s="4">
        <f t="shared" si="6"/>
        <v>1.1865511605717366E-2</v>
      </c>
      <c r="Q9" s="4">
        <f t="shared" si="7"/>
        <v>3.2661297367179758E-2</v>
      </c>
      <c r="R9" s="4">
        <f t="shared" si="8"/>
        <v>7.7544366981939965E-3</v>
      </c>
      <c r="S9" s="4">
        <f t="shared" si="9"/>
        <v>1.558570057743571E-2</v>
      </c>
      <c r="T9" s="4">
        <f t="shared" si="10"/>
        <v>8.0029189978107443E-2</v>
      </c>
      <c r="U9" s="4">
        <f t="shared" si="11"/>
        <v>3.9677744209466334E-2</v>
      </c>
      <c r="V9" s="4">
        <f t="shared" si="12"/>
        <v>0.46055955501263079</v>
      </c>
      <c r="X9" s="8"/>
      <c r="Y9" s="8"/>
      <c r="Z9" s="8"/>
      <c r="AA9" s="8"/>
      <c r="AB9" s="8"/>
      <c r="AC9" s="8"/>
      <c r="AD9" s="8"/>
      <c r="AE9" s="8"/>
      <c r="AF9" s="8"/>
      <c r="AG9" s="8"/>
      <c r="AH9" s="8"/>
    </row>
    <row r="10" spans="1:45">
      <c r="A10" s="49">
        <v>43677</v>
      </c>
      <c r="B10">
        <v>272.29399999999998</v>
      </c>
      <c r="C10">
        <v>48.287799999999997</v>
      </c>
      <c r="D10">
        <v>37.316000000000003</v>
      </c>
      <c r="E10" s="108">
        <v>107.149</v>
      </c>
      <c r="F10" s="108">
        <v>118.505</v>
      </c>
      <c r="G10">
        <v>109.762</v>
      </c>
      <c r="H10" s="108">
        <v>79.545199999999994</v>
      </c>
      <c r="I10" s="108">
        <v>133.21</v>
      </c>
      <c r="J10" s="108">
        <v>15.308999999999999</v>
      </c>
      <c r="K10" s="108">
        <v>10050</v>
      </c>
      <c r="M10" s="4">
        <f t="shared" si="3"/>
        <v>1.5090625768883793E-2</v>
      </c>
      <c r="N10" s="4">
        <f t="shared" si="4"/>
        <v>-2.6035426575175668E-2</v>
      </c>
      <c r="O10" s="4">
        <f t="shared" si="5"/>
        <v>-1.8129193527167478E-2</v>
      </c>
      <c r="P10" s="4">
        <f t="shared" si="6"/>
        <v>3.7345134395808246E-4</v>
      </c>
      <c r="Q10" s="4">
        <f t="shared" si="7"/>
        <v>2.4361978395661937E-3</v>
      </c>
      <c r="R10" s="4">
        <f t="shared" si="8"/>
        <v>3.0797349782956665E-3</v>
      </c>
      <c r="S10" s="4">
        <f t="shared" si="9"/>
        <v>1.7030373389657929E-2</v>
      </c>
      <c r="T10" s="4">
        <f t="shared" si="10"/>
        <v>7.5075075075220179E-5</v>
      </c>
      <c r="U10" s="4">
        <f t="shared" si="11"/>
        <v>-1.1429678419217446E-2</v>
      </c>
      <c r="V10" s="4">
        <f t="shared" si="12"/>
        <v>-0.18392204628501826</v>
      </c>
      <c r="X10" s="9" t="s">
        <v>64</v>
      </c>
      <c r="Y10" s="2" t="s">
        <v>2</v>
      </c>
      <c r="Z10" s="2" t="s">
        <v>50</v>
      </c>
      <c r="AA10" s="2" t="s">
        <v>51</v>
      </c>
      <c r="AB10" s="2" t="s">
        <v>52</v>
      </c>
      <c r="AC10" s="2" t="s">
        <v>53</v>
      </c>
      <c r="AD10" s="2" t="s">
        <v>54</v>
      </c>
      <c r="AE10" s="2" t="s">
        <v>3</v>
      </c>
      <c r="AF10" s="2" t="s">
        <v>55</v>
      </c>
      <c r="AG10" s="2" t="s">
        <v>4</v>
      </c>
      <c r="AH10" s="2" t="s">
        <v>56</v>
      </c>
      <c r="AJ10" s="27" t="s">
        <v>10</v>
      </c>
      <c r="AK10" s="28"/>
      <c r="AL10" s="28"/>
      <c r="AM10" s="28"/>
      <c r="AN10" s="28"/>
      <c r="AO10" s="28"/>
      <c r="AP10" s="28"/>
      <c r="AQ10" s="28"/>
      <c r="AR10" s="28"/>
      <c r="AS10" s="29"/>
    </row>
    <row r="11" spans="1:45">
      <c r="A11" s="49">
        <v>43708</v>
      </c>
      <c r="B11">
        <v>267.75099999999998</v>
      </c>
      <c r="C11">
        <v>47.493200000000002</v>
      </c>
      <c r="D11">
        <v>36.100900000000003</v>
      </c>
      <c r="E11" s="108">
        <v>111.40300000000001</v>
      </c>
      <c r="F11" s="108">
        <v>123.11</v>
      </c>
      <c r="G11">
        <v>112.327</v>
      </c>
      <c r="H11" s="108">
        <v>82.524699999999996</v>
      </c>
      <c r="I11" s="108">
        <v>143.75</v>
      </c>
      <c r="J11" s="108">
        <v>14.6</v>
      </c>
      <c r="K11" s="108">
        <v>9578.5400000000009</v>
      </c>
      <c r="M11" s="4">
        <f t="shared" si="3"/>
        <v>-1.6684172254989117E-2</v>
      </c>
      <c r="N11" s="4">
        <f t="shared" si="4"/>
        <v>-1.6455502217951442E-2</v>
      </c>
      <c r="O11" s="4">
        <f t="shared" si="5"/>
        <v>-3.2562439704148342E-2</v>
      </c>
      <c r="P11" s="4">
        <f t="shared" si="6"/>
        <v>3.9701723767837357E-2</v>
      </c>
      <c r="Q11" s="4">
        <f t="shared" si="7"/>
        <v>3.885911986836002E-2</v>
      </c>
      <c r="R11" s="4">
        <f t="shared" si="8"/>
        <v>2.336874328091687E-2</v>
      </c>
      <c r="S11" s="4">
        <f t="shared" si="9"/>
        <v>3.7456691289983579E-2</v>
      </c>
      <c r="T11" s="4">
        <f t="shared" si="10"/>
        <v>7.9123188949778475E-2</v>
      </c>
      <c r="U11" s="4">
        <f t="shared" si="11"/>
        <v>-4.6312626559540118E-2</v>
      </c>
      <c r="V11" s="4">
        <f t="shared" si="12"/>
        <v>-4.6911442786069568E-2</v>
      </c>
      <c r="X11" s="10" t="s">
        <v>2</v>
      </c>
      <c r="Y11" s="114">
        <f>_xlfn.COVARIANCE.S($M$5:$M$87,M$5:M$87)</f>
        <v>2.27044936489791E-3</v>
      </c>
      <c r="Z11" s="115">
        <f t="shared" ref="Z11:AH11" si="15">_xlfn.COVARIANCE.S($M$5:$M$87,N$5:N$87)</f>
        <v>2.0767105354332401E-3</v>
      </c>
      <c r="AA11" s="115">
        <f t="shared" si="15"/>
        <v>1.5167281467042557E-3</v>
      </c>
      <c r="AB11" s="115">
        <f t="shared" si="15"/>
        <v>2.4655076807844829E-4</v>
      </c>
      <c r="AC11" s="115">
        <f t="shared" si="15"/>
        <v>8.6812889813380487E-4</v>
      </c>
      <c r="AD11" s="115">
        <f t="shared" si="15"/>
        <v>4.8962366961611116E-4</v>
      </c>
      <c r="AE11" s="115">
        <f t="shared" si="15"/>
        <v>2.1278401578029675E-3</v>
      </c>
      <c r="AF11" s="115">
        <f t="shared" si="15"/>
        <v>3.1527410043494106E-4</v>
      </c>
      <c r="AG11" s="115">
        <f t="shared" si="15"/>
        <v>9.7690527381058805E-4</v>
      </c>
      <c r="AH11" s="115">
        <f t="shared" si="15"/>
        <v>4.3833923738954804E-3</v>
      </c>
      <c r="AJ11" s="30">
        <f>MDETERM($Y$11:Y11)</f>
        <v>2.27044936489791E-3</v>
      </c>
      <c r="AK11" s="37"/>
      <c r="AL11" s="37"/>
      <c r="AM11" s="5"/>
      <c r="AN11" s="5"/>
      <c r="AO11" s="5"/>
      <c r="AP11" s="5"/>
      <c r="AQ11" s="5"/>
      <c r="AR11" s="5"/>
      <c r="AS11" s="31"/>
    </row>
    <row r="12" spans="1:45">
      <c r="A12" s="49">
        <v>43738</v>
      </c>
      <c r="B12">
        <v>272.947</v>
      </c>
      <c r="C12">
        <v>48.701599999999999</v>
      </c>
      <c r="D12">
        <v>36.432400000000001</v>
      </c>
      <c r="E12" s="108">
        <v>110.06699999999999</v>
      </c>
      <c r="F12" s="108">
        <v>122.185</v>
      </c>
      <c r="G12">
        <v>111.089</v>
      </c>
      <c r="H12" s="108">
        <v>84.112300000000005</v>
      </c>
      <c r="I12" s="108">
        <v>138.87</v>
      </c>
      <c r="J12" s="108">
        <v>14.807</v>
      </c>
      <c r="K12" s="108">
        <v>8271.2999999999993</v>
      </c>
      <c r="M12" s="4">
        <f t="shared" si="3"/>
        <v>1.9406089986592122E-2</v>
      </c>
      <c r="N12" s="4">
        <f t="shared" si="4"/>
        <v>2.5443642458288711E-2</v>
      </c>
      <c r="O12" s="4">
        <f t="shared" si="5"/>
        <v>9.1825965557644912E-3</v>
      </c>
      <c r="P12" s="4">
        <f t="shared" si="6"/>
        <v>-1.1992495713760066E-2</v>
      </c>
      <c r="Q12" s="4">
        <f t="shared" si="7"/>
        <v>-7.5136057184631401E-3</v>
      </c>
      <c r="R12" s="4">
        <f t="shared" si="8"/>
        <v>-1.1021392897522408E-2</v>
      </c>
      <c r="S12" s="4">
        <f t="shared" si="9"/>
        <v>1.9237876659957673E-2</v>
      </c>
      <c r="T12" s="4">
        <f t="shared" si="10"/>
        <v>-3.3947826086956491E-2</v>
      </c>
      <c r="U12" s="4">
        <f t="shared" si="11"/>
        <v>1.4178082191780872E-2</v>
      </c>
      <c r="V12" s="4">
        <f t="shared" si="12"/>
        <v>-0.13647591386578764</v>
      </c>
      <c r="X12" s="10" t="s">
        <v>50</v>
      </c>
      <c r="Y12" s="116" cm="1">
        <f t="array" ref="Y12:Y20">TRANSPOSE(Z11:AH11)</f>
        <v>2.0767105354332401E-3</v>
      </c>
      <c r="Z12" s="114">
        <f>_xlfn.COVARIANCE.S($N$5:$N$87,N$5:N$87)</f>
        <v>2.7270310459277147E-3</v>
      </c>
      <c r="AA12" s="115">
        <f t="shared" ref="AA12:AH12" si="16">_xlfn.COVARIANCE.S($N$5:$N$87,O$5:O$87)</f>
        <v>1.8617816853557869E-3</v>
      </c>
      <c r="AB12" s="115">
        <f t="shared" si="16"/>
        <v>3.2035323918017897E-4</v>
      </c>
      <c r="AC12" s="115">
        <f t="shared" si="16"/>
        <v>9.8015514569673584E-4</v>
      </c>
      <c r="AD12" s="115">
        <f t="shared" si="16"/>
        <v>5.2070188471977405E-4</v>
      </c>
      <c r="AE12" s="115">
        <f t="shared" si="16"/>
        <v>2.2509923860204025E-3</v>
      </c>
      <c r="AF12" s="115">
        <f t="shared" si="16"/>
        <v>6.1674780427122889E-4</v>
      </c>
      <c r="AG12" s="115">
        <f t="shared" si="16"/>
        <v>1.2565361846237073E-3</v>
      </c>
      <c r="AH12" s="115">
        <f t="shared" si="16"/>
        <v>3.4866625773129151E-3</v>
      </c>
      <c r="AJ12" s="32"/>
      <c r="AK12" s="26">
        <f>MDETERM($Y$11:Z12)</f>
        <v>1.8788592583040481E-6</v>
      </c>
      <c r="AL12" s="37"/>
      <c r="AM12" s="5"/>
      <c r="AN12" s="5"/>
      <c r="AO12" s="5"/>
      <c r="AP12" s="5"/>
      <c r="AQ12" s="5"/>
      <c r="AR12" s="5"/>
      <c r="AS12" s="31"/>
    </row>
    <row r="13" spans="1:45">
      <c r="A13" s="49">
        <v>43769</v>
      </c>
      <c r="B13">
        <v>278.98500000000001</v>
      </c>
      <c r="C13">
        <v>50.572800000000001</v>
      </c>
      <c r="D13">
        <v>37.869199999999999</v>
      </c>
      <c r="E13" s="108">
        <v>110.277</v>
      </c>
      <c r="F13" s="108">
        <v>122.741</v>
      </c>
      <c r="G13">
        <v>111.059</v>
      </c>
      <c r="H13" s="108">
        <v>85.059899999999999</v>
      </c>
      <c r="I13" s="108">
        <v>142.43</v>
      </c>
      <c r="J13" s="108">
        <v>15.092000000000001</v>
      </c>
      <c r="K13" s="108">
        <v>9132.42</v>
      </c>
      <c r="M13" s="4">
        <f t="shared" si="3"/>
        <v>2.2121510769490087E-2</v>
      </c>
      <c r="N13" s="4">
        <f t="shared" si="4"/>
        <v>3.8421735630862264E-2</v>
      </c>
      <c r="O13" s="4">
        <f t="shared" si="5"/>
        <v>3.9437423831534514E-2</v>
      </c>
      <c r="P13" s="4">
        <f t="shared" si="6"/>
        <v>1.9079288069994455E-3</v>
      </c>
      <c r="Q13" s="4">
        <f t="shared" si="7"/>
        <v>4.5504767360968808E-3</v>
      </c>
      <c r="R13" s="4">
        <f t="shared" si="8"/>
        <v>-2.7005374069440845E-4</v>
      </c>
      <c r="S13" s="4">
        <f t="shared" si="9"/>
        <v>1.1265890957683884E-2</v>
      </c>
      <c r="T13" s="4">
        <f t="shared" si="10"/>
        <v>2.5635486426153972E-2</v>
      </c>
      <c r="U13" s="4">
        <f t="shared" si="11"/>
        <v>1.9247653137029794E-2</v>
      </c>
      <c r="V13" s="4">
        <f t="shared" si="12"/>
        <v>0.10410939030140376</v>
      </c>
      <c r="X13" s="10" t="s">
        <v>51</v>
      </c>
      <c r="Y13" s="116">
        <v>1.5167281467042557E-3</v>
      </c>
      <c r="Z13" s="116" cm="1">
        <f t="array" ref="Z13:Z20">TRANSPOSE(AA12:AH12)</f>
        <v>1.8617816853557869E-3</v>
      </c>
      <c r="AA13" s="114">
        <f>_xlfn.COVARIANCE.S($O$4:$O$87,O$4:O$87)</f>
        <v>2.1331827734839587E-3</v>
      </c>
      <c r="AB13" s="115">
        <f t="shared" ref="AB13:AH13" si="17">_xlfn.COVARIANCE.S($O$4:$O$87,P$4:P$87)</f>
        <v>2.11220842524017E-4</v>
      </c>
      <c r="AC13" s="115">
        <f t="shared" si="17"/>
        <v>8.1478014395880275E-4</v>
      </c>
      <c r="AD13" s="115">
        <f t="shared" si="17"/>
        <v>3.6327616874761429E-4</v>
      </c>
      <c r="AE13" s="115">
        <f t="shared" si="17"/>
        <v>1.5654872467697931E-3</v>
      </c>
      <c r="AF13" s="115">
        <f t="shared" si="17"/>
        <v>6.6915255096715439E-4</v>
      </c>
      <c r="AG13" s="115">
        <f t="shared" si="17"/>
        <v>1.126646770330555E-3</v>
      </c>
      <c r="AH13" s="115">
        <f t="shared" si="17"/>
        <v>2.3628251553027722E-3</v>
      </c>
      <c r="AJ13" s="33"/>
      <c r="AK13" s="37"/>
      <c r="AL13" s="26">
        <f>MDETERM($Y$11:AA13)</f>
        <v>1.5931103648294881E-9</v>
      </c>
      <c r="AM13" s="5"/>
      <c r="AN13" s="5"/>
      <c r="AO13" s="5"/>
      <c r="AP13" s="5"/>
      <c r="AQ13" s="5"/>
      <c r="AR13" s="5"/>
      <c r="AS13" s="31"/>
    </row>
    <row r="14" spans="1:45">
      <c r="A14" s="49">
        <v>43799</v>
      </c>
      <c r="B14">
        <v>289.07400000000001</v>
      </c>
      <c r="C14">
        <v>51.227899999999998</v>
      </c>
      <c r="D14">
        <v>38.058900000000001</v>
      </c>
      <c r="E14" s="108">
        <v>109.51900000000001</v>
      </c>
      <c r="F14" s="108">
        <v>123.319</v>
      </c>
      <c r="G14">
        <v>111.376</v>
      </c>
      <c r="H14" s="108">
        <v>83.950100000000006</v>
      </c>
      <c r="I14" s="108">
        <v>137.86000000000001</v>
      </c>
      <c r="J14" s="108">
        <v>15.071999999999999</v>
      </c>
      <c r="K14" s="108">
        <v>7757.95</v>
      </c>
      <c r="M14" s="4">
        <f t="shared" si="3"/>
        <v>3.6163234582504429E-2</v>
      </c>
      <c r="N14" s="4">
        <f t="shared" si="4"/>
        <v>1.2953603518096633E-2</v>
      </c>
      <c r="O14" s="4">
        <f t="shared" si="5"/>
        <v>5.0093479661572462E-3</v>
      </c>
      <c r="P14" s="4">
        <f t="shared" si="6"/>
        <v>-6.8736001160713076E-3</v>
      </c>
      <c r="Q14" s="4">
        <f t="shared" si="7"/>
        <v>4.7091029077488611E-3</v>
      </c>
      <c r="R14" s="4">
        <f t="shared" si="8"/>
        <v>2.8543386848432569E-3</v>
      </c>
      <c r="S14" s="4">
        <f t="shared" si="9"/>
        <v>-1.3047276096021659E-2</v>
      </c>
      <c r="T14" s="4">
        <f t="shared" si="10"/>
        <v>-3.2085936951484893E-2</v>
      </c>
      <c r="U14" s="4">
        <f t="shared" si="11"/>
        <v>-1.3252054068381494E-3</v>
      </c>
      <c r="V14" s="4">
        <f t="shared" si="12"/>
        <v>-0.1505044665050447</v>
      </c>
      <c r="X14" s="10" t="s">
        <v>52</v>
      </c>
      <c r="Y14" s="116">
        <v>2.4655076807844829E-4</v>
      </c>
      <c r="Z14" s="116">
        <v>3.2035323918017897E-4</v>
      </c>
      <c r="AA14" s="116" cm="1">
        <f t="array" ref="AA14:AA20">TRANSPOSE(AB13:AH13)</f>
        <v>2.11220842524017E-4</v>
      </c>
      <c r="AB14" s="114">
        <f>_xlfn.COVARIANCE.S($P$4:$P$87,P$4:P$87)</f>
        <v>4.4317989109464814E-4</v>
      </c>
      <c r="AC14" s="115">
        <f t="shared" ref="AC14:AH14" si="18">_xlfn.COVARIANCE.S($P$4:$P$87,Q$4:Q$87)</f>
        <v>4.5320247489009821E-4</v>
      </c>
      <c r="AD14" s="115">
        <f t="shared" si="18"/>
        <v>2.8385847879062374E-4</v>
      </c>
      <c r="AE14" s="115">
        <f t="shared" si="18"/>
        <v>4.5466285523215955E-4</v>
      </c>
      <c r="AF14" s="115">
        <f t="shared" si="18"/>
        <v>3.2458124892382752E-4</v>
      </c>
      <c r="AG14" s="115">
        <f t="shared" si="18"/>
        <v>-2.9937042360176058E-4</v>
      </c>
      <c r="AH14" s="115">
        <f t="shared" si="18"/>
        <v>4.9748579149017579E-4</v>
      </c>
      <c r="AJ14" s="33"/>
      <c r="AK14" s="5"/>
      <c r="AL14" s="5"/>
      <c r="AM14" s="26">
        <f>MDETERM($Y$11:AB14)</f>
        <v>6.4594939983139182E-13</v>
      </c>
      <c r="AN14" s="5"/>
      <c r="AO14" s="5"/>
      <c r="AP14" s="5"/>
      <c r="AQ14" s="5"/>
      <c r="AR14" s="5"/>
      <c r="AS14" s="31"/>
    </row>
    <row r="15" spans="1:45">
      <c r="A15" s="49">
        <v>43830</v>
      </c>
      <c r="B15">
        <v>297.47800000000001</v>
      </c>
      <c r="C15">
        <v>53.537199999999999</v>
      </c>
      <c r="D15">
        <v>40.751300000000001</v>
      </c>
      <c r="E15" s="108">
        <v>108.494</v>
      </c>
      <c r="F15" s="108">
        <v>123.985</v>
      </c>
      <c r="G15">
        <v>111.762</v>
      </c>
      <c r="H15" s="108">
        <v>84.596000000000004</v>
      </c>
      <c r="I15" s="108">
        <v>142.9</v>
      </c>
      <c r="J15" s="108">
        <v>15.95</v>
      </c>
      <c r="K15" s="108">
        <v>7194.24</v>
      </c>
      <c r="M15" s="4">
        <f t="shared" si="3"/>
        <v>2.9072140697537642E-2</v>
      </c>
      <c r="N15" s="4">
        <f t="shared" si="4"/>
        <v>4.5078951118433519E-2</v>
      </c>
      <c r="O15" s="4">
        <f t="shared" si="5"/>
        <v>7.0742979960009333E-2</v>
      </c>
      <c r="P15" s="4">
        <f t="shared" si="6"/>
        <v>-9.3591066390307214E-3</v>
      </c>
      <c r="Q15" s="4">
        <f t="shared" si="7"/>
        <v>5.4006276405095472E-3</v>
      </c>
      <c r="R15" s="4">
        <f t="shared" si="8"/>
        <v>3.4657376813675808E-3</v>
      </c>
      <c r="S15" s="4">
        <f t="shared" si="9"/>
        <v>7.6938562312611593E-3</v>
      </c>
      <c r="T15" s="4">
        <f t="shared" si="10"/>
        <v>3.6558827796315044E-2</v>
      </c>
      <c r="U15" s="4">
        <f t="shared" si="11"/>
        <v>5.8253715498938437E-2</v>
      </c>
      <c r="V15" s="4">
        <f t="shared" si="12"/>
        <v>-7.2662236802248023E-2</v>
      </c>
      <c r="X15" s="10" t="s">
        <v>53</v>
      </c>
      <c r="Y15" s="116">
        <v>8.6812889813380487E-4</v>
      </c>
      <c r="Z15" s="116">
        <v>9.8015514569673584E-4</v>
      </c>
      <c r="AA15" s="116">
        <v>8.1478014395880275E-4</v>
      </c>
      <c r="AB15" s="116" cm="1">
        <f t="array" ref="AB15:AB20">TRANSPOSE(AC14:AH14)</f>
        <v>4.5320247489009821E-4</v>
      </c>
      <c r="AC15" s="114">
        <f>_xlfn.COVARIANCE.S($Q$4:$Q$87,Q$4:Q$87)</f>
        <v>7.5531345161269448E-4</v>
      </c>
      <c r="AD15" s="115">
        <f t="shared" ref="AD15:AH15" si="19">_xlfn.COVARIANCE.S($Q$4:$Q$87,R$4:R$87)</f>
        <v>3.964123232234388E-4</v>
      </c>
      <c r="AE15" s="115">
        <f t="shared" si="19"/>
        <v>1.1004555637770645E-3</v>
      </c>
      <c r="AF15" s="115">
        <f t="shared" si="19"/>
        <v>4.3838634944414048E-4</v>
      </c>
      <c r="AG15" s="115">
        <f t="shared" si="19"/>
        <v>1.1272438487899193E-4</v>
      </c>
      <c r="AH15" s="115">
        <f t="shared" si="19"/>
        <v>1.7126919019364571E-3</v>
      </c>
      <c r="AJ15" s="33"/>
      <c r="AK15" s="5"/>
      <c r="AL15" s="5"/>
      <c r="AM15" s="5"/>
      <c r="AN15" s="26">
        <f>MDETERM($Y$11:AC15)</f>
        <v>5.1080238105973812E-17</v>
      </c>
      <c r="AO15" s="5"/>
      <c r="AP15" s="5"/>
      <c r="AQ15" s="5"/>
      <c r="AR15" s="5"/>
      <c r="AS15" s="31"/>
    </row>
    <row r="16" spans="1:45">
      <c r="A16" s="49">
        <v>43861</v>
      </c>
      <c r="B16">
        <v>297.351</v>
      </c>
      <c r="C16">
        <v>51.884999999999998</v>
      </c>
      <c r="D16">
        <v>38.497500000000002</v>
      </c>
      <c r="E16" s="108">
        <v>112.26900000000001</v>
      </c>
      <c r="F16" s="108">
        <v>127.008</v>
      </c>
      <c r="G16">
        <v>114.15900000000001</v>
      </c>
      <c r="H16" s="108">
        <v>85.634</v>
      </c>
      <c r="I16" s="108">
        <v>149.33000000000001</v>
      </c>
      <c r="J16" s="108">
        <v>14.58</v>
      </c>
      <c r="K16" s="108">
        <v>9310.99</v>
      </c>
      <c r="M16" s="4">
        <f t="shared" si="3"/>
        <v>-4.2692232702925778E-4</v>
      </c>
      <c r="N16" s="4">
        <f t="shared" si="4"/>
        <v>-3.0860784650672813E-2</v>
      </c>
      <c r="O16" s="4">
        <f t="shared" si="5"/>
        <v>-5.5306211090198308E-2</v>
      </c>
      <c r="P16" s="4">
        <f t="shared" si="6"/>
        <v>3.4794550850738341E-2</v>
      </c>
      <c r="Q16" s="4">
        <f t="shared" si="7"/>
        <v>2.4381981691333598E-2</v>
      </c>
      <c r="R16" s="4">
        <f t="shared" si="8"/>
        <v>2.144736135716975E-2</v>
      </c>
      <c r="S16" s="4">
        <f t="shared" si="9"/>
        <v>1.2270083691900286E-2</v>
      </c>
      <c r="T16" s="4">
        <f t="shared" si="10"/>
        <v>4.4996501049685139E-2</v>
      </c>
      <c r="U16" s="4">
        <f t="shared" si="11"/>
        <v>-8.5893416927899646E-2</v>
      </c>
      <c r="V16" s="4">
        <f t="shared" si="12"/>
        <v>0.29422843830620055</v>
      </c>
      <c r="X16" s="10" t="s">
        <v>54</v>
      </c>
      <c r="Y16" s="116">
        <v>4.8962366961611116E-4</v>
      </c>
      <c r="Z16" s="116">
        <v>5.2070188471977405E-4</v>
      </c>
      <c r="AA16" s="116">
        <v>3.6327616874761429E-4</v>
      </c>
      <c r="AB16" s="116">
        <v>2.8385847879062374E-4</v>
      </c>
      <c r="AC16" s="116" cm="1">
        <f t="array" ref="AC16:AC20">TRANSPOSE(AD15:AH15)</f>
        <v>3.964123232234388E-4</v>
      </c>
      <c r="AD16" s="114">
        <f>_xlfn.COVARIANCE.S($R$4:$R$87,R$4:R$87)</f>
        <v>3.0643418998887008E-4</v>
      </c>
      <c r="AE16" s="115">
        <f t="shared" ref="AE16:AH16" si="20">_xlfn.COVARIANCE.S($R$4:$R$87,S$4:S$87)</f>
        <v>6.4094753467179837E-4</v>
      </c>
      <c r="AF16" s="115">
        <f t="shared" si="20"/>
        <v>3.0799928929517873E-4</v>
      </c>
      <c r="AG16" s="115">
        <f t="shared" si="20"/>
        <v>7.3273513285891046E-5</v>
      </c>
      <c r="AH16" s="115">
        <f t="shared" si="20"/>
        <v>1.2091978261417663E-3</v>
      </c>
      <c r="AJ16" s="33"/>
      <c r="AK16" s="5"/>
      <c r="AL16" s="5"/>
      <c r="AM16" s="5"/>
      <c r="AN16" s="5"/>
      <c r="AO16" s="26">
        <f>MDETERM($Y$11:AD16)</f>
        <v>3.6643132703211448E-21</v>
      </c>
      <c r="AP16" s="5"/>
      <c r="AQ16" s="5"/>
      <c r="AR16" s="5"/>
      <c r="AS16" s="31"/>
    </row>
    <row r="17" spans="1:45">
      <c r="A17" s="49">
        <v>43890</v>
      </c>
      <c r="B17">
        <v>273.82799999999997</v>
      </c>
      <c r="C17">
        <v>47.754800000000003</v>
      </c>
      <c r="D17">
        <v>37.131</v>
      </c>
      <c r="E17" s="108">
        <v>115.586</v>
      </c>
      <c r="F17" s="108">
        <v>128.411</v>
      </c>
      <c r="G17">
        <v>115.19799999999999</v>
      </c>
      <c r="H17" s="108">
        <v>79.617900000000006</v>
      </c>
      <c r="I17" s="108">
        <v>148.38</v>
      </c>
      <c r="J17" s="108">
        <v>13.61</v>
      </c>
      <c r="K17" s="108">
        <v>8620.69</v>
      </c>
      <c r="M17" s="4">
        <f t="shared" si="3"/>
        <v>-7.9108528304932632E-2</v>
      </c>
      <c r="N17" s="4">
        <f t="shared" si="4"/>
        <v>-7.9602968102534352E-2</v>
      </c>
      <c r="O17" s="4">
        <f t="shared" si="5"/>
        <v>-3.5495811416325788E-2</v>
      </c>
      <c r="P17" s="4">
        <f t="shared" si="6"/>
        <v>2.9545110404474904E-2</v>
      </c>
      <c r="Q17" s="4">
        <f t="shared" si="7"/>
        <v>1.1046548248929247E-2</v>
      </c>
      <c r="R17" s="4">
        <f t="shared" si="8"/>
        <v>9.1013411119577718E-3</v>
      </c>
      <c r="S17" s="4">
        <f t="shared" si="9"/>
        <v>-7.0253637573860786E-2</v>
      </c>
      <c r="T17" s="4">
        <f t="shared" si="10"/>
        <v>-6.3617491461864127E-3</v>
      </c>
      <c r="U17" s="4">
        <f t="shared" si="11"/>
        <v>-6.6529492455418421E-2</v>
      </c>
      <c r="V17" s="4">
        <f t="shared" si="12"/>
        <v>-7.4138195830948078E-2</v>
      </c>
      <c r="X17" s="10" t="s">
        <v>3</v>
      </c>
      <c r="Y17" s="116">
        <v>2.1278401578029675E-3</v>
      </c>
      <c r="Z17" s="116">
        <v>2.2509923860204025E-3</v>
      </c>
      <c r="AA17" s="116">
        <v>1.5654872467697931E-3</v>
      </c>
      <c r="AB17" s="116">
        <v>4.5466285523215955E-4</v>
      </c>
      <c r="AC17" s="116">
        <v>1.1004555637770645E-3</v>
      </c>
      <c r="AD17" s="116" cm="1">
        <f t="array" ref="AD17:AD20">TRANSPOSE(AE16:AH16)</f>
        <v>6.4094753467179837E-4</v>
      </c>
      <c r="AE17" s="114">
        <f>_xlfn.COVARIANCE.S($S$4:$S$87,S$4:S$87)</f>
        <v>2.9943838609174235E-3</v>
      </c>
      <c r="AF17" s="115">
        <f t="shared" ref="AF17:AH17" si="21">_xlfn.COVARIANCE.S($S$4:$S$87,T$4:T$87)</f>
        <v>4.9490851330648289E-4</v>
      </c>
      <c r="AG17" s="115">
        <f t="shared" si="21"/>
        <v>9.6027881459056325E-4</v>
      </c>
      <c r="AH17" s="115">
        <f t="shared" si="21"/>
        <v>4.3492963535825581E-3</v>
      </c>
      <c r="AJ17" s="33"/>
      <c r="AK17" s="5"/>
      <c r="AL17" s="5"/>
      <c r="AM17" s="5"/>
      <c r="AN17" s="5"/>
      <c r="AO17" s="5"/>
      <c r="AP17" s="26">
        <f>MDETERM($Y$11:AE17)</f>
        <v>2.6255842631221102E-24</v>
      </c>
      <c r="AQ17" s="5"/>
      <c r="AR17" s="5"/>
      <c r="AS17" s="31"/>
    </row>
    <row r="18" spans="1:45">
      <c r="A18" s="49">
        <v>43921</v>
      </c>
      <c r="B18">
        <v>239.64</v>
      </c>
      <c r="C18">
        <v>39.803899999999999</v>
      </c>
      <c r="D18">
        <v>30.803899999999999</v>
      </c>
      <c r="E18" s="108">
        <v>119.90900000000001</v>
      </c>
      <c r="F18" s="108">
        <v>119.977</v>
      </c>
      <c r="G18">
        <v>113.188</v>
      </c>
      <c r="H18" s="108">
        <v>64.177599999999998</v>
      </c>
      <c r="I18" s="108">
        <v>148.05000000000001</v>
      </c>
      <c r="J18" s="108">
        <v>11.25</v>
      </c>
      <c r="K18" s="108">
        <v>6459.95</v>
      </c>
      <c r="M18" s="4">
        <f t="shared" si="3"/>
        <v>-0.12485209693676319</v>
      </c>
      <c r="N18" s="4">
        <f t="shared" si="4"/>
        <v>-0.16649425816881244</v>
      </c>
      <c r="O18" s="4">
        <f t="shared" si="5"/>
        <v>-0.17039939673049478</v>
      </c>
      <c r="P18" s="4">
        <f t="shared" si="6"/>
        <v>3.740072327098444E-2</v>
      </c>
      <c r="Q18" s="4">
        <f t="shared" si="7"/>
        <v>-6.5679731487177873E-2</v>
      </c>
      <c r="R18" s="4">
        <f t="shared" si="8"/>
        <v>-1.7448219587145531E-2</v>
      </c>
      <c r="S18" s="4">
        <f t="shared" si="9"/>
        <v>-0.19393000820167333</v>
      </c>
      <c r="T18" s="4">
        <f t="shared" si="10"/>
        <v>-2.2240194096238312E-3</v>
      </c>
      <c r="U18" s="4">
        <f t="shared" si="11"/>
        <v>-0.17340191036002936</v>
      </c>
      <c r="V18" s="4">
        <f t="shared" si="12"/>
        <v>-0.25064582997416684</v>
      </c>
      <c r="X18" s="10" t="s">
        <v>55</v>
      </c>
      <c r="Y18" s="116">
        <v>3.1527410043494106E-4</v>
      </c>
      <c r="Z18" s="116">
        <v>6.1674780427122889E-4</v>
      </c>
      <c r="AA18" s="116">
        <v>6.6915255096715439E-4</v>
      </c>
      <c r="AB18" s="116">
        <v>3.2458124892382752E-4</v>
      </c>
      <c r="AC18" s="116">
        <v>4.3838634944414048E-4</v>
      </c>
      <c r="AD18" s="116">
        <v>3.0799928929517873E-4</v>
      </c>
      <c r="AE18" s="116" cm="1">
        <f t="array" ref="AE18:AE20">TRANSPOSE(AF17:AH17)</f>
        <v>4.9490851330648289E-4</v>
      </c>
      <c r="AF18" s="114">
        <f>_xlfn.COVARIANCE.S($T$4:$T$87,T$4:T$87)</f>
        <v>1.7594684914398191E-3</v>
      </c>
      <c r="AG18" s="115">
        <f t="shared" ref="AG18:AH18" si="22">_xlfn.COVARIANCE.S($T$4:$T$87,U$4:U$87)</f>
        <v>7.3037439068179897E-5</v>
      </c>
      <c r="AH18" s="115">
        <f t="shared" si="22"/>
        <v>1.1058909888860716E-3</v>
      </c>
      <c r="AJ18" s="33"/>
      <c r="AK18" s="5"/>
      <c r="AL18" s="5"/>
      <c r="AM18" s="5"/>
      <c r="AN18" s="5"/>
      <c r="AO18" s="5"/>
      <c r="AP18" s="5"/>
      <c r="AQ18" s="26">
        <f>MDETERM($Y$11:AF18)</f>
        <v>3.2937397220274853E-27</v>
      </c>
      <c r="AR18" s="5"/>
      <c r="AS18" s="31"/>
    </row>
    <row r="19" spans="1:45">
      <c r="A19" s="49">
        <v>43951</v>
      </c>
      <c r="B19">
        <v>270.06700000000001</v>
      </c>
      <c r="C19">
        <v>42.3688</v>
      </c>
      <c r="D19">
        <v>33.206200000000003</v>
      </c>
      <c r="E19" s="108">
        <v>120.218</v>
      </c>
      <c r="F19" s="108">
        <v>125.785</v>
      </c>
      <c r="G19">
        <v>116.624</v>
      </c>
      <c r="H19" s="108">
        <v>69.929199999999994</v>
      </c>
      <c r="I19" s="108">
        <v>158.80000000000001</v>
      </c>
      <c r="J19" s="108">
        <v>10.9</v>
      </c>
      <c r="K19" s="108">
        <v>8764.24</v>
      </c>
      <c r="M19" s="4">
        <f t="shared" si="3"/>
        <v>0.12696962109831422</v>
      </c>
      <c r="N19" s="4">
        <f t="shared" si="4"/>
        <v>6.4438409301601135E-2</v>
      </c>
      <c r="O19" s="4">
        <f t="shared" si="5"/>
        <v>7.7986878284892633E-2</v>
      </c>
      <c r="P19" s="4">
        <f t="shared" si="6"/>
        <v>2.576954190260927E-3</v>
      </c>
      <c r="Q19" s="4">
        <f t="shared" si="7"/>
        <v>4.8409278445035238E-2</v>
      </c>
      <c r="R19" s="4">
        <f t="shared" si="8"/>
        <v>3.0356574901933005E-2</v>
      </c>
      <c r="S19" s="4">
        <f t="shared" si="9"/>
        <v>8.9620054349180966E-2</v>
      </c>
      <c r="T19" s="4">
        <f t="shared" si="10"/>
        <v>7.261060452549814E-2</v>
      </c>
      <c r="U19" s="4">
        <f t="shared" si="11"/>
        <v>-3.1111111111111079E-2</v>
      </c>
      <c r="V19" s="4">
        <f t="shared" si="12"/>
        <v>0.35670399925696022</v>
      </c>
      <c r="X19" s="10" t="s">
        <v>4</v>
      </c>
      <c r="Y19" s="116">
        <v>9.7690527381058805E-4</v>
      </c>
      <c r="Z19" s="116">
        <v>1.2565361846237073E-3</v>
      </c>
      <c r="AA19" s="116">
        <v>1.126646770330555E-3</v>
      </c>
      <c r="AB19" s="116">
        <v>-2.9937042360176058E-4</v>
      </c>
      <c r="AC19" s="116">
        <v>1.1272438487899193E-4</v>
      </c>
      <c r="AD19" s="116">
        <v>7.3273513285891046E-5</v>
      </c>
      <c r="AE19" s="116">
        <v>9.6027881459056325E-4</v>
      </c>
      <c r="AF19" s="116" cm="1">
        <f t="array" ref="AF19:AF20">TRANSPOSE(AG18:AH18)</f>
        <v>7.3037439068179897E-5</v>
      </c>
      <c r="AG19" s="114">
        <f>_xlfn.COVARIANCE.S($U$4:$U$87,U$4:U$87)</f>
        <v>2.4314902208752327E-3</v>
      </c>
      <c r="AH19" s="115">
        <f>_xlfn.COVARIANCE.S($U$4:$U$87,V$4:V$87)</f>
        <v>1.0456424726550766E-3</v>
      </c>
      <c r="AJ19" s="33"/>
      <c r="AK19" s="5"/>
      <c r="AL19" s="5"/>
      <c r="AM19" s="5"/>
      <c r="AN19" s="5"/>
      <c r="AO19" s="5"/>
      <c r="AP19" s="5"/>
      <c r="AQ19" s="5"/>
      <c r="AR19" s="26">
        <f>MDETERM($Y$11:AG19)</f>
        <v>3.8861770062086455E-30</v>
      </c>
      <c r="AS19" s="31"/>
    </row>
    <row r="20" spans="1:45" ht="17" thickBot="1">
      <c r="A20" s="49">
        <v>43982</v>
      </c>
      <c r="B20">
        <v>282.93</v>
      </c>
      <c r="C20">
        <v>44.842799999999997</v>
      </c>
      <c r="D20">
        <v>34.298999999999999</v>
      </c>
      <c r="E20" s="108">
        <v>120.48699999999999</v>
      </c>
      <c r="F20" s="108">
        <v>128.58000000000001</v>
      </c>
      <c r="G20">
        <v>117.07</v>
      </c>
      <c r="H20" s="108">
        <v>71.141300000000001</v>
      </c>
      <c r="I20" s="108">
        <v>162.91</v>
      </c>
      <c r="J20" s="108">
        <v>11.78</v>
      </c>
      <c r="K20" s="108">
        <v>9398.5</v>
      </c>
      <c r="M20" s="4">
        <f t="shared" si="3"/>
        <v>4.7628921712019608E-2</v>
      </c>
      <c r="N20" s="4">
        <f t="shared" si="4"/>
        <v>5.8392024319782403E-2</v>
      </c>
      <c r="O20" s="4">
        <f t="shared" si="5"/>
        <v>3.2909516897446763E-2</v>
      </c>
      <c r="P20" s="4">
        <f t="shared" si="6"/>
        <v>2.2376016902626167E-3</v>
      </c>
      <c r="Q20" s="4">
        <f t="shared" si="7"/>
        <v>2.2220455539213865E-2</v>
      </c>
      <c r="R20" s="4">
        <f t="shared" si="8"/>
        <v>3.82425572780901E-3</v>
      </c>
      <c r="S20" s="4">
        <f t="shared" si="9"/>
        <v>1.7333245625575679E-2</v>
      </c>
      <c r="T20" s="4">
        <f t="shared" si="10"/>
        <v>2.5881612090680007E-2</v>
      </c>
      <c r="U20" s="4">
        <f t="shared" si="11"/>
        <v>8.0733944954128348E-2</v>
      </c>
      <c r="V20" s="4">
        <f t="shared" si="12"/>
        <v>7.2369081631721663E-2</v>
      </c>
      <c r="X20" s="10" t="s">
        <v>56</v>
      </c>
      <c r="Y20" s="116">
        <v>4.3833923738954804E-3</v>
      </c>
      <c r="Z20" s="116">
        <v>3.4866625773129151E-3</v>
      </c>
      <c r="AA20" s="116">
        <v>2.3628251553027722E-3</v>
      </c>
      <c r="AB20" s="116">
        <v>4.9748579149017579E-4</v>
      </c>
      <c r="AC20" s="116">
        <v>1.7126919019364571E-3</v>
      </c>
      <c r="AD20" s="116">
        <v>1.2091978261417663E-3</v>
      </c>
      <c r="AE20" s="116">
        <v>4.3492963535825581E-3</v>
      </c>
      <c r="AF20" s="116">
        <v>1.1058909888860716E-3</v>
      </c>
      <c r="AG20" s="116">
        <f>AH19</f>
        <v>1.0456424726550766E-3</v>
      </c>
      <c r="AH20" s="114">
        <f>_xlfn.COVARIANCE.S($V$4:$V$87,V$4:V$87)</f>
        <v>3.9826429757608237E-2</v>
      </c>
      <c r="AJ20" s="34"/>
      <c r="AK20" s="35"/>
      <c r="AL20" s="35"/>
      <c r="AM20" s="35"/>
      <c r="AN20" s="35"/>
      <c r="AO20" s="35"/>
      <c r="AP20" s="35"/>
      <c r="AQ20" s="35"/>
      <c r="AR20" s="35"/>
      <c r="AS20" s="36">
        <f>MDETERM($Y$11:AH20)</f>
        <v>1.135842943701231E-31</v>
      </c>
    </row>
    <row r="21" spans="1:45">
      <c r="A21" s="49">
        <v>44012</v>
      </c>
      <c r="B21">
        <v>287.95400000000001</v>
      </c>
      <c r="C21">
        <v>46.605400000000003</v>
      </c>
      <c r="D21">
        <v>36.521099999999997</v>
      </c>
      <c r="E21" s="108">
        <v>120.53700000000001</v>
      </c>
      <c r="F21" s="108">
        <v>131.29400000000001</v>
      </c>
      <c r="G21">
        <v>118.249</v>
      </c>
      <c r="H21" s="108">
        <v>72.868499999999997</v>
      </c>
      <c r="I21" s="108">
        <v>167.37</v>
      </c>
      <c r="J21" s="108">
        <v>12.31</v>
      </c>
      <c r="K21" s="108">
        <v>9165.9</v>
      </c>
      <c r="M21" s="4">
        <f t="shared" si="3"/>
        <v>1.7757042377973355E-2</v>
      </c>
      <c r="N21" s="4">
        <f t="shared" si="4"/>
        <v>3.9306198542464039E-2</v>
      </c>
      <c r="O21" s="4">
        <f t="shared" si="5"/>
        <v>6.478614536866957E-2</v>
      </c>
      <c r="P21" s="4">
        <f t="shared" si="6"/>
        <v>4.1498252923561355E-4</v>
      </c>
      <c r="Q21" s="4">
        <f t="shared" si="7"/>
        <v>2.1107481723440649E-2</v>
      </c>
      <c r="R21" s="4">
        <f t="shared" si="8"/>
        <v>1.0070897753480841E-2</v>
      </c>
      <c r="S21" s="4">
        <f t="shared" si="9"/>
        <v>2.4278443042227177E-2</v>
      </c>
      <c r="T21" s="4">
        <f t="shared" si="10"/>
        <v>2.7377079368976785E-2</v>
      </c>
      <c r="U21" s="4">
        <f t="shared" si="11"/>
        <v>4.4991511035653749E-2</v>
      </c>
      <c r="V21" s="4">
        <f t="shared" si="12"/>
        <v>-2.4748630100547998E-2</v>
      </c>
      <c r="X21" s="8"/>
      <c r="Y21" s="8"/>
      <c r="Z21" s="8"/>
      <c r="AA21" s="8"/>
      <c r="AB21" s="8"/>
      <c r="AC21" s="8"/>
      <c r="AD21" s="8"/>
      <c r="AE21" s="8"/>
      <c r="AF21" s="8"/>
      <c r="AG21" s="8"/>
      <c r="AH21" s="8"/>
      <c r="AJ21" s="26"/>
      <c r="AK21" s="26"/>
      <c r="AL21" s="26"/>
      <c r="AM21" s="26"/>
      <c r="AN21" s="26"/>
      <c r="AO21" s="26"/>
      <c r="AP21" s="26"/>
      <c r="AQ21" s="26"/>
      <c r="AR21" s="26"/>
      <c r="AS21" s="26"/>
    </row>
    <row r="22" spans="1:45">
      <c r="A22" s="49">
        <v>44043</v>
      </c>
      <c r="B22">
        <v>304.904</v>
      </c>
      <c r="C22">
        <v>48.308100000000003</v>
      </c>
      <c r="D22">
        <v>39.655700000000003</v>
      </c>
      <c r="E22" s="108">
        <v>121.57299999999999</v>
      </c>
      <c r="F22" s="108">
        <v>135.36199999999999</v>
      </c>
      <c r="G22">
        <v>120.982</v>
      </c>
      <c r="H22" s="108">
        <v>75.521600000000007</v>
      </c>
      <c r="I22" s="108">
        <v>185.43</v>
      </c>
      <c r="J22" s="108">
        <v>12.94</v>
      </c>
      <c r="K22" s="108">
        <v>11328</v>
      </c>
      <c r="M22" s="4">
        <f t="shared" si="3"/>
        <v>5.8863568486633239E-2</v>
      </c>
      <c r="N22" s="4">
        <f t="shared" si="4"/>
        <v>3.6534393010252034E-2</v>
      </c>
      <c r="O22" s="4">
        <f t="shared" si="5"/>
        <v>8.582983535545223E-2</v>
      </c>
      <c r="P22" s="4">
        <f t="shared" si="6"/>
        <v>8.5948712843358227E-3</v>
      </c>
      <c r="Q22" s="4">
        <f t="shared" si="7"/>
        <v>3.0983898731091926E-2</v>
      </c>
      <c r="R22" s="4">
        <f t="shared" si="8"/>
        <v>2.3112246192356842E-2</v>
      </c>
      <c r="S22" s="4">
        <f t="shared" si="9"/>
        <v>3.6409422452774648E-2</v>
      </c>
      <c r="T22" s="4">
        <f t="shared" si="10"/>
        <v>0.10790464240903389</v>
      </c>
      <c r="U22" s="4">
        <f t="shared" si="11"/>
        <v>5.1177904142973109E-2</v>
      </c>
      <c r="V22" s="4">
        <f t="shared" si="12"/>
        <v>0.23588518312440682</v>
      </c>
      <c r="X22" s="8"/>
      <c r="Y22" s="8"/>
      <c r="Z22" s="8"/>
      <c r="AA22" s="8"/>
      <c r="AB22" s="8"/>
      <c r="AC22" s="8"/>
      <c r="AD22" s="8"/>
      <c r="AE22" s="8"/>
      <c r="AF22" s="8"/>
      <c r="AG22" s="8"/>
      <c r="AH22" s="8"/>
    </row>
    <row r="23" spans="1:45">
      <c r="A23" s="49">
        <v>44074</v>
      </c>
      <c r="B23">
        <v>326.18900000000002</v>
      </c>
      <c r="C23">
        <v>50.392600000000002</v>
      </c>
      <c r="D23">
        <v>40.744599999999998</v>
      </c>
      <c r="E23" s="108">
        <v>120.387</v>
      </c>
      <c r="F23" s="108">
        <v>132.965</v>
      </c>
      <c r="G23">
        <v>122.071</v>
      </c>
      <c r="H23" s="108">
        <v>75.854900000000001</v>
      </c>
      <c r="I23" s="108">
        <v>184.83</v>
      </c>
      <c r="J23" s="108">
        <v>13.54</v>
      </c>
      <c r="K23" s="108">
        <v>11640</v>
      </c>
      <c r="M23" s="4">
        <f t="shared" si="3"/>
        <v>6.9808857870018184E-2</v>
      </c>
      <c r="N23" s="4">
        <f t="shared" si="4"/>
        <v>4.3150113542035358E-2</v>
      </c>
      <c r="O23" s="4">
        <f t="shared" si="5"/>
        <v>2.7458852069185392E-2</v>
      </c>
      <c r="P23" s="4">
        <f t="shared" si="6"/>
        <v>-9.7554555699044428E-3</v>
      </c>
      <c r="Q23" s="4">
        <f t="shared" si="7"/>
        <v>-1.7708071689248026E-2</v>
      </c>
      <c r="R23" s="4">
        <f t="shared" si="8"/>
        <v>9.0013390421715515E-3</v>
      </c>
      <c r="S23" s="4">
        <f t="shared" si="9"/>
        <v>4.4133069214634503E-3</v>
      </c>
      <c r="T23" s="4">
        <f t="shared" si="10"/>
        <v>-3.2357223750201923E-3</v>
      </c>
      <c r="U23" s="4">
        <f t="shared" si="11"/>
        <v>4.6367851622874781E-2</v>
      </c>
      <c r="V23" s="4">
        <f t="shared" si="12"/>
        <v>2.7542372881355932E-2</v>
      </c>
      <c r="X23" s="8"/>
      <c r="Y23" s="8"/>
      <c r="Z23" s="8"/>
      <c r="AA23" s="8"/>
      <c r="AB23" s="8"/>
      <c r="AC23" s="8"/>
      <c r="AD23" s="8"/>
      <c r="AE23" s="8"/>
      <c r="AF23" s="8"/>
      <c r="AG23" s="8"/>
      <c r="AH23" s="8"/>
    </row>
    <row r="24" spans="1:45">
      <c r="A24" s="49">
        <v>44104</v>
      </c>
      <c r="B24">
        <v>313.97699999999998</v>
      </c>
      <c r="C24">
        <v>48.822800000000001</v>
      </c>
      <c r="D24">
        <v>40.256999999999998</v>
      </c>
      <c r="E24" s="108">
        <v>120.697</v>
      </c>
      <c r="F24" s="108">
        <v>132.09100000000001</v>
      </c>
      <c r="G24">
        <v>121.596</v>
      </c>
      <c r="H24" s="108">
        <v>73.835800000000006</v>
      </c>
      <c r="I24" s="108">
        <v>177.12</v>
      </c>
      <c r="J24" s="108">
        <v>13.06</v>
      </c>
      <c r="K24" s="108">
        <v>10709</v>
      </c>
      <c r="M24" s="4">
        <f t="shared" si="3"/>
        <v>-3.7438417604517764E-2</v>
      </c>
      <c r="N24" s="4">
        <f t="shared" si="4"/>
        <v>-3.115139921337658E-2</v>
      </c>
      <c r="O24" s="4">
        <f t="shared" si="5"/>
        <v>-1.1967230013302389E-2</v>
      </c>
      <c r="P24" s="4">
        <f t="shared" si="6"/>
        <v>2.5750288652429437E-3</v>
      </c>
      <c r="Q24" s="4">
        <f t="shared" si="7"/>
        <v>-6.573158349941678E-3</v>
      </c>
      <c r="R24" s="4">
        <f t="shared" si="8"/>
        <v>-3.8911780848849796E-3</v>
      </c>
      <c r="S24" s="4">
        <f t="shared" si="9"/>
        <v>-2.6617924484772831E-2</v>
      </c>
      <c r="T24" s="4">
        <f t="shared" si="10"/>
        <v>-4.1714007466320445E-2</v>
      </c>
      <c r="U24" s="4">
        <f t="shared" si="11"/>
        <v>-3.5450516986705961E-2</v>
      </c>
      <c r="V24" s="4">
        <f t="shared" si="12"/>
        <v>-7.9982817869415801E-2</v>
      </c>
      <c r="X24" s="8"/>
      <c r="Y24" s="8"/>
      <c r="Z24" s="8"/>
      <c r="AA24" s="8"/>
      <c r="AB24" s="8"/>
      <c r="AC24" s="8"/>
      <c r="AD24" s="8"/>
      <c r="AE24" s="8"/>
      <c r="AF24" s="8"/>
      <c r="AG24" s="8"/>
      <c r="AH24" s="8"/>
    </row>
    <row r="25" spans="1:45">
      <c r="A25" s="49">
        <v>44135</v>
      </c>
      <c r="B25">
        <v>306.149</v>
      </c>
      <c r="C25">
        <v>46.178100000000001</v>
      </c>
      <c r="D25">
        <v>40.786900000000003</v>
      </c>
      <c r="E25" s="108">
        <v>119.042</v>
      </c>
      <c r="F25" s="108">
        <v>131.41399999999999</v>
      </c>
      <c r="G25">
        <v>120.78400000000001</v>
      </c>
      <c r="H25" s="108">
        <v>71.619</v>
      </c>
      <c r="I25" s="108">
        <v>176.2</v>
      </c>
      <c r="J25" s="108">
        <v>12.65</v>
      </c>
      <c r="K25" s="108">
        <v>13637</v>
      </c>
      <c r="M25" s="4">
        <f t="shared" si="3"/>
        <v>-2.4931762517636562E-2</v>
      </c>
      <c r="N25" s="4">
        <f t="shared" si="4"/>
        <v>-5.416936349410522E-2</v>
      </c>
      <c r="O25" s="4">
        <f t="shared" si="5"/>
        <v>1.3162928186402488E-2</v>
      </c>
      <c r="P25" s="4">
        <f t="shared" si="6"/>
        <v>-1.3712022668334765E-2</v>
      </c>
      <c r="Q25" s="4">
        <f t="shared" si="7"/>
        <v>-5.1252545593569654E-3</v>
      </c>
      <c r="R25" s="4">
        <f t="shared" si="8"/>
        <v>-6.6778512451067269E-3</v>
      </c>
      <c r="S25" s="4">
        <f t="shared" si="9"/>
        <v>-3.002337619420398E-2</v>
      </c>
      <c r="T25" s="4">
        <f t="shared" si="10"/>
        <v>-5.1942186088528453E-3</v>
      </c>
      <c r="U25" s="4">
        <f t="shared" si="11"/>
        <v>-3.1393568147013794E-2</v>
      </c>
      <c r="V25" s="4">
        <f t="shared" si="12"/>
        <v>0.27341488467644037</v>
      </c>
      <c r="X25" s="12" t="s">
        <v>9</v>
      </c>
      <c r="Y25" s="2" t="s">
        <v>2</v>
      </c>
      <c r="Z25" s="2" t="s">
        <v>50</v>
      </c>
      <c r="AA25" s="2" t="s">
        <v>51</v>
      </c>
      <c r="AB25" s="2" t="s">
        <v>52</v>
      </c>
      <c r="AC25" s="2" t="s">
        <v>53</v>
      </c>
      <c r="AD25" s="2" t="s">
        <v>54</v>
      </c>
      <c r="AE25" s="2" t="s">
        <v>3</v>
      </c>
      <c r="AF25" s="2" t="s">
        <v>55</v>
      </c>
      <c r="AG25" s="2" t="s">
        <v>4</v>
      </c>
      <c r="AH25" s="2" t="s">
        <v>56</v>
      </c>
      <c r="AM25" s="113" t="s">
        <v>59</v>
      </c>
      <c r="AN25" s="113"/>
    </row>
    <row r="26" spans="1:45" ht="34">
      <c r="A26" s="49">
        <v>44165</v>
      </c>
      <c r="B26">
        <v>339.43700000000001</v>
      </c>
      <c r="C26">
        <v>53.748399999999997</v>
      </c>
      <c r="D26">
        <v>44.2791</v>
      </c>
      <c r="E26" s="108">
        <v>119.372</v>
      </c>
      <c r="F26" s="108">
        <v>136.078</v>
      </c>
      <c r="G26">
        <v>121.932</v>
      </c>
      <c r="H26" s="108">
        <v>78.548400000000001</v>
      </c>
      <c r="I26" s="108">
        <v>166.67</v>
      </c>
      <c r="J26" s="108">
        <v>13.94</v>
      </c>
      <c r="K26" s="108">
        <v>19484</v>
      </c>
      <c r="M26" s="4">
        <f t="shared" si="3"/>
        <v>0.10873136936589703</v>
      </c>
      <c r="N26" s="4">
        <f t="shared" si="4"/>
        <v>0.16393701776383168</v>
      </c>
      <c r="O26" s="4">
        <f t="shared" si="5"/>
        <v>8.5620628191894865E-2</v>
      </c>
      <c r="P26" s="4">
        <f t="shared" si="6"/>
        <v>2.7721308445758496E-3</v>
      </c>
      <c r="Q26" s="4">
        <f t="shared" si="7"/>
        <v>3.5490891381435893E-2</v>
      </c>
      <c r="R26" s="4">
        <f t="shared" si="8"/>
        <v>9.5045701417405953E-3</v>
      </c>
      <c r="S26" s="4">
        <f t="shared" si="9"/>
        <v>9.6753654756419408E-2</v>
      </c>
      <c r="T26" s="4">
        <f t="shared" si="10"/>
        <v>-5.4086265607264483E-2</v>
      </c>
      <c r="U26" s="4">
        <f t="shared" si="11"/>
        <v>0.10197628458498016</v>
      </c>
      <c r="V26" s="4">
        <f t="shared" si="12"/>
        <v>0.42875999120041064</v>
      </c>
      <c r="X26" s="10" t="s">
        <v>2</v>
      </c>
      <c r="Y26" s="13">
        <f>CORREL($M$4:$M$87,M$4:M$87)</f>
        <v>1.0000000000000002</v>
      </c>
      <c r="Z26" s="13">
        <f t="shared" ref="Z26:AH26" si="23">CORREL($M$4:$M$87,N$4:N$87)</f>
        <v>0.83459353197024411</v>
      </c>
      <c r="AA26" s="13">
        <f t="shared" si="23"/>
        <v>0.68918815065026184</v>
      </c>
      <c r="AB26" s="13">
        <f t="shared" si="23"/>
        <v>0.24578785880324971</v>
      </c>
      <c r="AC26" s="13">
        <f t="shared" si="23"/>
        <v>0.66292545162911165</v>
      </c>
      <c r="AD26" s="13">
        <f t="shared" si="23"/>
        <v>0.5869997068580286</v>
      </c>
      <c r="AE26" s="13">
        <f t="shared" si="23"/>
        <v>0.81607364727359155</v>
      </c>
      <c r="AF26" s="13">
        <f t="shared" si="23"/>
        <v>0.15773992785337076</v>
      </c>
      <c r="AG26" s="13">
        <f t="shared" si="23"/>
        <v>0.41577682654450299</v>
      </c>
      <c r="AH26" s="13">
        <f t="shared" si="23"/>
        <v>0.46096584674204782</v>
      </c>
      <c r="AL26" s="111" t="s">
        <v>0</v>
      </c>
      <c r="AM26" s="111" t="s">
        <v>60</v>
      </c>
      <c r="AN26" s="112" t="s">
        <v>61</v>
      </c>
      <c r="AO26" s="38" t="s">
        <v>62</v>
      </c>
    </row>
    <row r="27" spans="1:45">
      <c r="A27" s="49">
        <v>44196</v>
      </c>
      <c r="B27">
        <v>352.02300000000002</v>
      </c>
      <c r="C27">
        <v>56.449100000000001</v>
      </c>
      <c r="D27">
        <v>46.933900000000001</v>
      </c>
      <c r="E27" s="108">
        <v>119.003</v>
      </c>
      <c r="F27" s="108">
        <v>136.00899999999999</v>
      </c>
      <c r="G27">
        <v>123.121</v>
      </c>
      <c r="H27" s="108">
        <v>80.699299999999994</v>
      </c>
      <c r="I27" s="108">
        <v>178.36</v>
      </c>
      <c r="J27" s="108">
        <v>14.7</v>
      </c>
      <c r="K27" s="108">
        <v>29152</v>
      </c>
      <c r="M27" s="4">
        <f t="shared" si="3"/>
        <v>3.7079045596090029E-2</v>
      </c>
      <c r="N27" s="4">
        <f t="shared" si="4"/>
        <v>5.0247077122295827E-2</v>
      </c>
      <c r="O27" s="4">
        <f t="shared" si="5"/>
        <v>5.9956051500595124E-2</v>
      </c>
      <c r="P27" s="4">
        <f t="shared" si="6"/>
        <v>-3.0911771604731409E-3</v>
      </c>
      <c r="Q27" s="4">
        <f t="shared" si="7"/>
        <v>-5.0706212613366467E-4</v>
      </c>
      <c r="R27" s="4">
        <f t="shared" si="8"/>
        <v>9.7513368106813061E-3</v>
      </c>
      <c r="S27" s="4">
        <f t="shared" si="9"/>
        <v>2.7383116651643991E-2</v>
      </c>
      <c r="T27" s="4">
        <f t="shared" si="10"/>
        <v>7.0138597228055599E-2</v>
      </c>
      <c r="U27" s="4">
        <f t="shared" si="11"/>
        <v>5.4519368723098982E-2</v>
      </c>
      <c r="V27" s="4">
        <f t="shared" si="12"/>
        <v>0.49620201190720592</v>
      </c>
      <c r="X27" s="10" t="s">
        <v>50</v>
      </c>
      <c r="Y27" s="16"/>
      <c r="Z27" s="17">
        <f>CORREL($N$4:$N$87,N$4:N$87)</f>
        <v>1</v>
      </c>
      <c r="AA27" s="17">
        <f t="shared" ref="AA27:AH27" si="24">CORREL($N$4:$N$87,O$4:O$87)</f>
        <v>0.7719153526680379</v>
      </c>
      <c r="AB27" s="17">
        <f t="shared" si="24"/>
        <v>0.29140302467724011</v>
      </c>
      <c r="AC27" s="17">
        <f t="shared" si="24"/>
        <v>0.68294569776688485</v>
      </c>
      <c r="AD27" s="17">
        <f t="shared" si="24"/>
        <v>0.56960723740571095</v>
      </c>
      <c r="AE27" s="17">
        <f t="shared" si="24"/>
        <v>0.78772612337167713</v>
      </c>
      <c r="AF27" s="17">
        <f t="shared" si="24"/>
        <v>0.28156056236336541</v>
      </c>
      <c r="AG27" s="17">
        <f t="shared" si="24"/>
        <v>0.48797064277427105</v>
      </c>
      <c r="AH27" s="17">
        <f t="shared" si="24"/>
        <v>0.33456398734785325</v>
      </c>
      <c r="AL27" s="49">
        <v>43496</v>
      </c>
      <c r="AM27">
        <v>0.21</v>
      </c>
      <c r="AN27" s="119">
        <f>AVERAGE(AM27:AM108)/100</f>
        <v>2.104938271604938E-3</v>
      </c>
      <c r="AO27">
        <f>((1+AN27)^(12))-1</f>
        <v>2.5553751335308794E-2</v>
      </c>
    </row>
    <row r="28" spans="1:45">
      <c r="A28" s="49">
        <v>44227</v>
      </c>
      <c r="B28">
        <v>348.43400000000003</v>
      </c>
      <c r="C28">
        <v>55.943399999999997</v>
      </c>
      <c r="D28">
        <v>48.405299999999997</v>
      </c>
      <c r="E28" s="108">
        <v>117.69799999999999</v>
      </c>
      <c r="F28" s="108">
        <v>133.53200000000001</v>
      </c>
      <c r="G28">
        <v>123.447</v>
      </c>
      <c r="H28" s="108">
        <v>80.725800000000007</v>
      </c>
      <c r="I28" s="108">
        <v>172.61</v>
      </c>
      <c r="J28" s="108">
        <v>15.19</v>
      </c>
      <c r="K28" s="108">
        <v>34569</v>
      </c>
      <c r="M28" s="4">
        <f t="shared" si="3"/>
        <v>-1.0195356553407017E-2</v>
      </c>
      <c r="N28" s="4">
        <f t="shared" si="4"/>
        <v>-8.9585130675246278E-3</v>
      </c>
      <c r="O28" s="4">
        <f t="shared" si="5"/>
        <v>3.1350473751382169E-2</v>
      </c>
      <c r="P28" s="4">
        <f t="shared" si="6"/>
        <v>-1.0966110098064813E-2</v>
      </c>
      <c r="Q28" s="4">
        <f t="shared" si="7"/>
        <v>-1.8212030086244113E-2</v>
      </c>
      <c r="R28" s="4">
        <f t="shared" si="8"/>
        <v>2.6478017559961957E-3</v>
      </c>
      <c r="S28" s="4">
        <f t="shared" si="9"/>
        <v>3.2837955223915014E-4</v>
      </c>
      <c r="T28" s="4">
        <f t="shared" si="10"/>
        <v>-3.2238169993272031E-2</v>
      </c>
      <c r="U28" s="4">
        <f t="shared" si="11"/>
        <v>3.3333333333333347E-2</v>
      </c>
      <c r="V28" s="4">
        <f t="shared" si="12"/>
        <v>0.18581915477497254</v>
      </c>
      <c r="X28" s="10" t="s">
        <v>51</v>
      </c>
      <c r="Y28" s="16"/>
      <c r="Z28" s="19"/>
      <c r="AA28" s="17">
        <f>CORREL($O$4:$O$87,O$4:O$87)</f>
        <v>1</v>
      </c>
      <c r="AB28" s="17">
        <f t="shared" ref="AB28:AH28" si="25">CORREL($O$4:$O$87,P$4:P$87)</f>
        <v>0.21723645818688539</v>
      </c>
      <c r="AC28" s="17">
        <f t="shared" si="25"/>
        <v>0.64189322701151308</v>
      </c>
      <c r="AD28" s="17">
        <f t="shared" si="25"/>
        <v>0.4493184633957199</v>
      </c>
      <c r="AE28" s="17">
        <f t="shared" si="25"/>
        <v>0.61941506443092476</v>
      </c>
      <c r="AF28" s="17">
        <f t="shared" si="25"/>
        <v>0.34539842831733919</v>
      </c>
      <c r="AG28" s="17">
        <f t="shared" si="25"/>
        <v>0.4946949517646817</v>
      </c>
      <c r="AH28" s="17">
        <f t="shared" si="25"/>
        <v>0.25634913951749611</v>
      </c>
      <c r="AL28" s="49">
        <v>43524</v>
      </c>
      <c r="AM28">
        <v>0.18</v>
      </c>
      <c r="AN28" s="60"/>
    </row>
    <row r="29" spans="1:45">
      <c r="A29" s="49">
        <v>44255</v>
      </c>
      <c r="B29">
        <v>358.13</v>
      </c>
      <c r="C29">
        <v>57.385300000000001</v>
      </c>
      <c r="D29">
        <v>49.164700000000003</v>
      </c>
      <c r="E29" s="108">
        <v>114.82899999999999</v>
      </c>
      <c r="F29" s="108">
        <v>130.24</v>
      </c>
      <c r="G29">
        <v>121.38800000000001</v>
      </c>
      <c r="H29" s="108">
        <v>83.491</v>
      </c>
      <c r="I29" s="108">
        <v>161.81</v>
      </c>
      <c r="J29" s="108">
        <v>16.73</v>
      </c>
      <c r="K29" s="108">
        <v>46234</v>
      </c>
      <c r="M29" s="4">
        <f t="shared" si="3"/>
        <v>2.7827364723304753E-2</v>
      </c>
      <c r="N29" s="4">
        <f t="shared" si="4"/>
        <v>2.5774264703253717E-2</v>
      </c>
      <c r="O29" s="4">
        <f t="shared" si="5"/>
        <v>1.5688364703865209E-2</v>
      </c>
      <c r="P29" s="4">
        <f t="shared" si="6"/>
        <v>-2.4375945215721593E-2</v>
      </c>
      <c r="Q29" s="4">
        <f t="shared" si="7"/>
        <v>-2.4653266632717261E-2</v>
      </c>
      <c r="R29" s="4">
        <f t="shared" si="8"/>
        <v>-1.6679222662357104E-2</v>
      </c>
      <c r="S29" s="4">
        <f t="shared" si="9"/>
        <v>3.4254228511826364E-2</v>
      </c>
      <c r="T29" s="4">
        <f t="shared" si="10"/>
        <v>-6.2568796709344829E-2</v>
      </c>
      <c r="U29" s="4">
        <f t="shared" si="11"/>
        <v>0.10138248847926273</v>
      </c>
      <c r="V29" s="4">
        <f t="shared" si="12"/>
        <v>0.33744105990916717</v>
      </c>
      <c r="X29" s="10" t="s">
        <v>52</v>
      </c>
      <c r="Y29" s="16"/>
      <c r="Z29" s="19"/>
      <c r="AA29" s="19"/>
      <c r="AB29" s="17">
        <f>CORREL($P$4:$P$87,P$4:P$87)</f>
        <v>0.99999999999999989</v>
      </c>
      <c r="AC29" s="17">
        <f t="shared" ref="AC29:AH29" si="26">CORREL($P$4:$P$87,Q$4:Q$87)</f>
        <v>0.78331896244455235</v>
      </c>
      <c r="AD29" s="17">
        <f t="shared" si="26"/>
        <v>0.77027045141303074</v>
      </c>
      <c r="AE29" s="17">
        <f t="shared" si="26"/>
        <v>0.39468054118563239</v>
      </c>
      <c r="AF29" s="17">
        <f t="shared" si="26"/>
        <v>0.36757219930603363</v>
      </c>
      <c r="AG29" s="17">
        <f t="shared" si="26"/>
        <v>-0.28839159901766059</v>
      </c>
      <c r="AH29" s="17">
        <f t="shared" si="26"/>
        <v>0.11841452314453722</v>
      </c>
      <c r="AL29" s="49">
        <v>43555</v>
      </c>
      <c r="AM29">
        <v>0.19</v>
      </c>
      <c r="AN29" s="60"/>
    </row>
    <row r="30" spans="1:45">
      <c r="A30" s="49">
        <v>44286</v>
      </c>
      <c r="B30">
        <v>374.39100000000002</v>
      </c>
      <c r="C30">
        <v>59.289400000000001</v>
      </c>
      <c r="D30">
        <v>48.814799999999998</v>
      </c>
      <c r="E30" s="108">
        <v>112.02</v>
      </c>
      <c r="F30" s="108">
        <v>128.06200000000001</v>
      </c>
      <c r="G30">
        <v>121.06100000000001</v>
      </c>
      <c r="H30" s="108">
        <v>87.795699999999997</v>
      </c>
      <c r="I30" s="108">
        <v>159.96</v>
      </c>
      <c r="J30" s="108">
        <v>16.61</v>
      </c>
      <c r="K30" s="108">
        <v>58962</v>
      </c>
      <c r="M30" s="4">
        <f t="shared" si="3"/>
        <v>4.5405299751486959E-2</v>
      </c>
      <c r="N30" s="4">
        <f t="shared" si="4"/>
        <v>3.3180971433450723E-2</v>
      </c>
      <c r="O30" s="4">
        <f t="shared" si="5"/>
        <v>-7.1168948452854427E-3</v>
      </c>
      <c r="P30" s="4">
        <f t="shared" si="6"/>
        <v>-2.4462461573295922E-2</v>
      </c>
      <c r="Q30" s="4">
        <f t="shared" si="7"/>
        <v>-1.6722972972972951E-2</v>
      </c>
      <c r="R30" s="4">
        <f t="shared" si="8"/>
        <v>-2.6938412363660177E-3</v>
      </c>
      <c r="S30" s="4">
        <f t="shared" si="9"/>
        <v>5.1558850654561533E-2</v>
      </c>
      <c r="T30" s="4">
        <f t="shared" si="10"/>
        <v>-1.1433162350905348E-2</v>
      </c>
      <c r="U30" s="4">
        <f t="shared" si="11"/>
        <v>-7.1727435744172738E-3</v>
      </c>
      <c r="V30" s="4">
        <f t="shared" si="12"/>
        <v>0.2752952372712722</v>
      </c>
      <c r="X30" s="10" t="s">
        <v>53</v>
      </c>
      <c r="Y30" s="16"/>
      <c r="Z30" s="19"/>
      <c r="AA30" s="19"/>
      <c r="AB30" s="19"/>
      <c r="AC30" s="17">
        <f>CORREL($Q$4:$Q$87,Q$4:Q$87)</f>
        <v>1</v>
      </c>
      <c r="AD30" s="17">
        <f t="shared" ref="AD30:AH30" si="27">CORREL($Q$4:$Q$87,R$4:R$87)</f>
        <v>0.82397669317346456</v>
      </c>
      <c r="AE30" s="17">
        <f t="shared" si="27"/>
        <v>0.73173725049692595</v>
      </c>
      <c r="AF30" s="17">
        <f t="shared" si="27"/>
        <v>0.38027928262801997</v>
      </c>
      <c r="AG30" s="17">
        <f t="shared" si="27"/>
        <v>8.3179824718509918E-2</v>
      </c>
      <c r="AH30" s="17">
        <f t="shared" si="27"/>
        <v>0.31226977241909792</v>
      </c>
      <c r="AL30" s="49">
        <v>43585</v>
      </c>
      <c r="AM30">
        <v>0.21</v>
      </c>
      <c r="AN30" s="60"/>
    </row>
    <row r="31" spans="1:45">
      <c r="A31" s="49">
        <v>44316</v>
      </c>
      <c r="B31">
        <v>394.202</v>
      </c>
      <c r="C31">
        <v>62.122</v>
      </c>
      <c r="D31">
        <v>49.687899999999999</v>
      </c>
      <c r="E31" s="108">
        <v>113.146</v>
      </c>
      <c r="F31" s="108">
        <v>129.38499999999999</v>
      </c>
      <c r="G31">
        <v>122.804</v>
      </c>
      <c r="H31" s="108">
        <v>94.697400000000002</v>
      </c>
      <c r="I31" s="108">
        <v>165.66</v>
      </c>
      <c r="J31" s="108">
        <v>17.91</v>
      </c>
      <c r="K31" s="108">
        <v>57081</v>
      </c>
      <c r="M31" s="4">
        <f t="shared" si="3"/>
        <v>5.2915267728123744E-2</v>
      </c>
      <c r="N31" s="4">
        <f t="shared" si="4"/>
        <v>4.7775825020998683E-2</v>
      </c>
      <c r="O31" s="4">
        <f t="shared" si="5"/>
        <v>1.7885969009398806E-2</v>
      </c>
      <c r="P31" s="4">
        <f t="shared" si="6"/>
        <v>1.0051776468487813E-2</v>
      </c>
      <c r="Q31" s="4">
        <f t="shared" si="7"/>
        <v>1.0330933454108002E-2</v>
      </c>
      <c r="R31" s="4">
        <f t="shared" si="8"/>
        <v>1.4397700332889989E-2</v>
      </c>
      <c r="S31" s="4">
        <f t="shared" si="9"/>
        <v>7.8610911468329381E-2</v>
      </c>
      <c r="T31" s="4">
        <f t="shared" si="10"/>
        <v>3.5633908477119204E-2</v>
      </c>
      <c r="U31" s="4">
        <f t="shared" si="11"/>
        <v>7.8266104756171032E-2</v>
      </c>
      <c r="V31" s="4">
        <f t="shared" si="12"/>
        <v>-3.1901902920525083E-2</v>
      </c>
      <c r="X31" s="10" t="s">
        <v>54</v>
      </c>
      <c r="Y31" s="16"/>
      <c r="Z31" s="19"/>
      <c r="AA31" s="19"/>
      <c r="AB31" s="19"/>
      <c r="AC31" s="19"/>
      <c r="AD31" s="17">
        <f>CORREL($R$4:$R$87,R$4:R$87)</f>
        <v>1.0000000000000002</v>
      </c>
      <c r="AE31" s="17">
        <f t="shared" ref="AE31:AH31" si="28">CORREL($R$4:$R$87,S$4:S$87)</f>
        <v>0.66911402801895736</v>
      </c>
      <c r="AF31" s="17">
        <f t="shared" si="28"/>
        <v>0.41945981181900932</v>
      </c>
      <c r="AG31" s="17">
        <f t="shared" si="28"/>
        <v>8.4887186981553259E-2</v>
      </c>
      <c r="AH31" s="17">
        <f t="shared" si="28"/>
        <v>0.3461330427145855</v>
      </c>
      <c r="AL31" s="49">
        <v>43616</v>
      </c>
      <c r="AM31">
        <v>0.21</v>
      </c>
      <c r="AN31" s="60"/>
    </row>
    <row r="32" spans="1:45">
      <c r="A32" s="49">
        <v>44347</v>
      </c>
      <c r="B32">
        <v>396.78699999999998</v>
      </c>
      <c r="C32">
        <v>64.888599999999997</v>
      </c>
      <c r="D32">
        <v>50.530099999999997</v>
      </c>
      <c r="E32" s="108">
        <v>113.554</v>
      </c>
      <c r="F32" s="108">
        <v>129.93199999999999</v>
      </c>
      <c r="G32">
        <v>123.53700000000001</v>
      </c>
      <c r="H32" s="108">
        <v>95.462199999999996</v>
      </c>
      <c r="I32" s="108">
        <v>178.38</v>
      </c>
      <c r="J32" s="108">
        <v>18.600000000000001</v>
      </c>
      <c r="K32" s="108">
        <v>36885</v>
      </c>
      <c r="M32" s="4">
        <f t="shared" si="3"/>
        <v>6.5575517120663503E-3</v>
      </c>
      <c r="N32" s="4">
        <f t="shared" si="4"/>
        <v>4.4534947361643165E-2</v>
      </c>
      <c r="O32" s="4">
        <f t="shared" si="5"/>
        <v>1.69498006556928E-2</v>
      </c>
      <c r="P32" s="4">
        <f t="shared" si="6"/>
        <v>3.6059604404928254E-3</v>
      </c>
      <c r="Q32" s="4">
        <f t="shared" si="7"/>
        <v>4.2276925455037064E-3</v>
      </c>
      <c r="R32" s="4">
        <f t="shared" si="8"/>
        <v>5.9688609491547837E-3</v>
      </c>
      <c r="S32" s="4">
        <f t="shared" si="9"/>
        <v>8.0762513015140217E-3</v>
      </c>
      <c r="T32" s="4">
        <f t="shared" si="10"/>
        <v>7.6783773994929375E-2</v>
      </c>
      <c r="U32" s="4">
        <f t="shared" si="11"/>
        <v>3.8525963149078801E-2</v>
      </c>
      <c r="V32" s="4">
        <f t="shared" si="12"/>
        <v>-0.35381300257528775</v>
      </c>
      <c r="X32" s="10" t="s">
        <v>3</v>
      </c>
      <c r="Y32" s="16"/>
      <c r="Z32" s="19"/>
      <c r="AA32" s="19"/>
      <c r="AB32" s="19"/>
      <c r="AC32" s="19"/>
      <c r="AD32" s="19"/>
      <c r="AE32" s="17">
        <f>CORREL($S$4:$S$87,S$4:S$87)</f>
        <v>1.0000000000000002</v>
      </c>
      <c r="AF32" s="17">
        <f t="shared" ref="AF32:AH32" si="29">CORREL($S$4:$S$87,T$4:T$87)</f>
        <v>0.21561572987866676</v>
      </c>
      <c r="AG32" s="17">
        <f t="shared" si="29"/>
        <v>0.35588308562164217</v>
      </c>
      <c r="AH32" s="17">
        <f t="shared" si="29"/>
        <v>0.39827181769343001</v>
      </c>
      <c r="AL32" s="49">
        <v>43646</v>
      </c>
      <c r="AM32">
        <v>0.18</v>
      </c>
      <c r="AN32" s="60"/>
    </row>
    <row r="33" spans="1:40">
      <c r="A33" s="49">
        <v>44377</v>
      </c>
      <c r="B33">
        <v>405.68700000000001</v>
      </c>
      <c r="C33">
        <v>63.997100000000003</v>
      </c>
      <c r="D33">
        <v>51.201700000000002</v>
      </c>
      <c r="E33" s="108">
        <v>114.63</v>
      </c>
      <c r="F33" s="108">
        <v>132.55699999999999</v>
      </c>
      <c r="G33">
        <v>123.774</v>
      </c>
      <c r="H33" s="108">
        <v>97.977800000000002</v>
      </c>
      <c r="I33" s="108">
        <v>165.63</v>
      </c>
      <c r="J33" s="108">
        <v>19.25</v>
      </c>
      <c r="K33" s="108">
        <v>34796</v>
      </c>
      <c r="M33" s="4">
        <f t="shared" si="3"/>
        <v>2.2430170343282502E-2</v>
      </c>
      <c r="N33" s="4">
        <f t="shared" si="4"/>
        <v>-1.3738931029487362E-2</v>
      </c>
      <c r="O33" s="4">
        <f t="shared" si="5"/>
        <v>1.3291087886230289E-2</v>
      </c>
      <c r="P33" s="4">
        <f t="shared" si="6"/>
        <v>9.475667964140351E-3</v>
      </c>
      <c r="Q33" s="4">
        <f t="shared" si="7"/>
        <v>2.0202875350183176E-2</v>
      </c>
      <c r="R33" s="4">
        <f t="shared" si="8"/>
        <v>1.9184535807085712E-3</v>
      </c>
      <c r="S33" s="4">
        <f t="shared" si="9"/>
        <v>2.6351791599188018E-2</v>
      </c>
      <c r="T33" s="4">
        <f t="shared" si="10"/>
        <v>-7.1476622939791457E-2</v>
      </c>
      <c r="U33" s="4">
        <f t="shared" si="11"/>
        <v>3.4946236559139705E-2</v>
      </c>
      <c r="V33" s="4">
        <f t="shared" si="12"/>
        <v>-5.6635488681035649E-2</v>
      </c>
      <c r="X33" s="10" t="s">
        <v>55</v>
      </c>
      <c r="Y33" s="16"/>
      <c r="Z33" s="19"/>
      <c r="AA33" s="19"/>
      <c r="AB33" s="19"/>
      <c r="AC33" s="19"/>
      <c r="AD33" s="19"/>
      <c r="AE33" s="19"/>
      <c r="AF33" s="17">
        <f>CORREL($T$4:$T$87,T$4:T$87)</f>
        <v>0.99999999999999989</v>
      </c>
      <c r="AG33" s="17">
        <f t="shared" ref="AG33:AH33" si="30">CORREL($T$4:$T$87,U$4:U$87)</f>
        <v>3.5311691891397136E-2</v>
      </c>
      <c r="AH33" s="17">
        <f t="shared" si="30"/>
        <v>0.13211005837815495</v>
      </c>
      <c r="AL33" s="49">
        <v>43677</v>
      </c>
      <c r="AM33">
        <v>0.19</v>
      </c>
      <c r="AN33" s="60"/>
    </row>
    <row r="34" spans="1:40">
      <c r="A34" s="49">
        <v>44408</v>
      </c>
      <c r="B34">
        <v>415.59199999999998</v>
      </c>
      <c r="C34">
        <v>65.188000000000002</v>
      </c>
      <c r="D34">
        <v>48.184699999999999</v>
      </c>
      <c r="E34" s="108">
        <v>116.92100000000001</v>
      </c>
      <c r="F34" s="108">
        <v>134.428</v>
      </c>
      <c r="G34">
        <v>127.092</v>
      </c>
      <c r="H34" s="108">
        <v>102.313</v>
      </c>
      <c r="I34" s="108">
        <v>169.82</v>
      </c>
      <c r="J34" s="108">
        <v>19.5</v>
      </c>
      <c r="K34" s="108">
        <v>39920</v>
      </c>
      <c r="M34" s="4">
        <f t="shared" si="3"/>
        <v>2.4415374414265115E-2</v>
      </c>
      <c r="N34" s="4">
        <f t="shared" si="4"/>
        <v>1.8608655704711607E-2</v>
      </c>
      <c r="O34" s="4">
        <f t="shared" si="5"/>
        <v>-5.8923824794879912E-2</v>
      </c>
      <c r="P34" s="4">
        <f t="shared" si="6"/>
        <v>1.9986042048329506E-2</v>
      </c>
      <c r="Q34" s="4">
        <f t="shared" si="7"/>
        <v>1.4114682740255208E-2</v>
      </c>
      <c r="R34" s="4">
        <f t="shared" si="8"/>
        <v>2.6806922293858143E-2</v>
      </c>
      <c r="S34" s="4">
        <f t="shared" si="9"/>
        <v>4.4246757939043341E-2</v>
      </c>
      <c r="T34" s="4">
        <f t="shared" si="10"/>
        <v>2.5297349513976924E-2</v>
      </c>
      <c r="U34" s="4">
        <f t="shared" si="11"/>
        <v>1.2987012987012988E-2</v>
      </c>
      <c r="V34" s="4">
        <f t="shared" si="12"/>
        <v>0.14725830555236233</v>
      </c>
      <c r="X34" s="10" t="s">
        <v>4</v>
      </c>
      <c r="Y34" s="20"/>
      <c r="Z34" s="21"/>
      <c r="AA34" s="21"/>
      <c r="AB34" s="21"/>
      <c r="AC34" s="21"/>
      <c r="AD34" s="21"/>
      <c r="AE34" s="21"/>
      <c r="AF34" s="21"/>
      <c r="AG34" s="17">
        <f>CORREL($U$4:$U$87,U$4:U$87)</f>
        <v>1.0000000000000002</v>
      </c>
      <c r="AH34" s="17">
        <f>CORREL($U$4:$U$87,V$4:V$87)</f>
        <v>0.10625790863747228</v>
      </c>
      <c r="AL34" s="49">
        <v>43708</v>
      </c>
      <c r="AM34">
        <v>0.16</v>
      </c>
      <c r="AN34" s="60"/>
    </row>
    <row r="35" spans="1:40">
      <c r="A35" s="49">
        <v>44439</v>
      </c>
      <c r="B35">
        <v>427.96800000000002</v>
      </c>
      <c r="C35">
        <v>66.367400000000004</v>
      </c>
      <c r="D35">
        <v>49.2408</v>
      </c>
      <c r="E35" s="108">
        <v>116.383</v>
      </c>
      <c r="F35" s="108">
        <v>133.74100000000001</v>
      </c>
      <c r="G35">
        <v>126.121</v>
      </c>
      <c r="H35" s="108">
        <v>104.52500000000001</v>
      </c>
      <c r="I35" s="108">
        <v>169.69</v>
      </c>
      <c r="J35" s="108">
        <v>19.18</v>
      </c>
      <c r="K35" s="108">
        <v>46979</v>
      </c>
      <c r="M35" s="4">
        <f t="shared" si="3"/>
        <v>2.9779206529480916E-2</v>
      </c>
      <c r="N35" s="4">
        <f t="shared" si="4"/>
        <v>1.8092286923973754E-2</v>
      </c>
      <c r="O35" s="4">
        <f t="shared" si="5"/>
        <v>2.1917745674456843E-2</v>
      </c>
      <c r="P35" s="4">
        <f t="shared" si="6"/>
        <v>-4.6013975248245468E-3</v>
      </c>
      <c r="Q35" s="4">
        <f t="shared" si="7"/>
        <v>-5.110542446513996E-3</v>
      </c>
      <c r="R35" s="4">
        <f t="shared" si="8"/>
        <v>-7.6401347055676493E-3</v>
      </c>
      <c r="S35" s="4">
        <f t="shared" si="9"/>
        <v>2.1619930996061139E-2</v>
      </c>
      <c r="T35" s="4">
        <f t="shared" si="10"/>
        <v>-7.6551642916026065E-4</v>
      </c>
      <c r="U35" s="4">
        <f t="shared" si="11"/>
        <v>-1.6410256410256424E-2</v>
      </c>
      <c r="V35" s="4">
        <f t="shared" si="12"/>
        <v>0.17682865731462927</v>
      </c>
      <c r="X35" s="10" t="s">
        <v>56</v>
      </c>
      <c r="Y35" s="22"/>
      <c r="Z35" s="23"/>
      <c r="AA35" s="23"/>
      <c r="AB35" s="23"/>
      <c r="AC35" s="23"/>
      <c r="AD35" s="23"/>
      <c r="AE35" s="23"/>
      <c r="AF35" s="23"/>
      <c r="AG35" s="23"/>
      <c r="AH35" s="24">
        <f>CORREL($V$4:$V$87,V$4:V$87)</f>
        <v>1.0000000000000002</v>
      </c>
      <c r="AL35" s="49">
        <v>43738</v>
      </c>
      <c r="AM35">
        <v>0.18</v>
      </c>
      <c r="AN35" s="60"/>
    </row>
    <row r="36" spans="1:40">
      <c r="A36" s="49">
        <v>44469</v>
      </c>
      <c r="B36">
        <v>408.012</v>
      </c>
      <c r="C36">
        <v>62.787700000000001</v>
      </c>
      <c r="D36">
        <v>47.5824</v>
      </c>
      <c r="E36" s="108">
        <v>114.44</v>
      </c>
      <c r="F36" s="108">
        <v>131.494</v>
      </c>
      <c r="G36">
        <v>124.279</v>
      </c>
      <c r="H36" s="108">
        <v>98.577399999999997</v>
      </c>
      <c r="I36" s="108">
        <v>164.22</v>
      </c>
      <c r="J36" s="108">
        <v>20.18</v>
      </c>
      <c r="K36" s="108">
        <v>43752</v>
      </c>
      <c r="M36" s="4">
        <f t="shared" si="3"/>
        <v>-4.6629654553611524E-2</v>
      </c>
      <c r="N36" s="4">
        <f t="shared" si="4"/>
        <v>-5.3937626003128077E-2</v>
      </c>
      <c r="O36" s="4">
        <f t="shared" si="5"/>
        <v>-3.3679387824730719E-2</v>
      </c>
      <c r="P36" s="4">
        <f t="shared" si="6"/>
        <v>-1.6694878117938169E-2</v>
      </c>
      <c r="Q36" s="4">
        <f t="shared" si="7"/>
        <v>-1.6801130543363768E-2</v>
      </c>
      <c r="R36" s="4">
        <f t="shared" si="8"/>
        <v>-1.460502216125783E-2</v>
      </c>
      <c r="S36" s="4">
        <f t="shared" si="9"/>
        <v>-5.6901219803874747E-2</v>
      </c>
      <c r="T36" s="4">
        <f t="shared" si="10"/>
        <v>-3.2235252519299894E-2</v>
      </c>
      <c r="U36" s="4">
        <f t="shared" si="11"/>
        <v>5.213764337851929E-2</v>
      </c>
      <c r="V36" s="4">
        <f t="shared" si="12"/>
        <v>-6.8690265863470906E-2</v>
      </c>
      <c r="X36" s="8"/>
      <c r="Y36" s="8"/>
      <c r="Z36" s="8"/>
      <c r="AA36" s="8"/>
      <c r="AB36" s="8"/>
      <c r="AC36" s="8"/>
      <c r="AD36" s="8"/>
      <c r="AE36" s="8"/>
      <c r="AF36" s="8"/>
      <c r="AG36" s="8"/>
      <c r="AH36" s="8"/>
      <c r="AL36" s="49">
        <v>43769</v>
      </c>
      <c r="AM36">
        <v>0.15</v>
      </c>
      <c r="AN36" s="60"/>
    </row>
    <row r="37" spans="1:40">
      <c r="A37" s="49">
        <v>44500</v>
      </c>
      <c r="B37">
        <v>436.649</v>
      </c>
      <c r="C37">
        <v>65.945800000000006</v>
      </c>
      <c r="D37">
        <v>48.2</v>
      </c>
      <c r="E37" s="108">
        <v>113.94199999999999</v>
      </c>
      <c r="F37" s="108">
        <v>132.18899999999999</v>
      </c>
      <c r="G37">
        <v>125.65600000000001</v>
      </c>
      <c r="H37" s="108">
        <v>105.616</v>
      </c>
      <c r="I37" s="108">
        <v>166.65</v>
      </c>
      <c r="J37" s="108">
        <v>21.35</v>
      </c>
      <c r="K37" s="108">
        <v>62629</v>
      </c>
      <c r="M37" s="4">
        <f t="shared" si="3"/>
        <v>7.0186661176632067E-2</v>
      </c>
      <c r="N37" s="4">
        <f t="shared" si="4"/>
        <v>5.0298067933687719E-2</v>
      </c>
      <c r="O37" s="4">
        <f t="shared" si="5"/>
        <v>1.2979589091765087E-2</v>
      </c>
      <c r="P37" s="4">
        <f t="shared" si="6"/>
        <v>-4.3516253058371607E-3</v>
      </c>
      <c r="Q37" s="4">
        <f t="shared" si="7"/>
        <v>5.2854122621563962E-3</v>
      </c>
      <c r="R37" s="4">
        <f t="shared" si="8"/>
        <v>1.1079908914619603E-2</v>
      </c>
      <c r="S37" s="4">
        <f t="shared" si="9"/>
        <v>7.1401761458508767E-2</v>
      </c>
      <c r="T37" s="4">
        <f t="shared" si="10"/>
        <v>1.4797223237120977E-2</v>
      </c>
      <c r="U37" s="4">
        <f t="shared" si="11"/>
        <v>5.7978196233895031E-2</v>
      </c>
      <c r="V37" s="4">
        <f t="shared" si="12"/>
        <v>0.43145456207716221</v>
      </c>
      <c r="X37" s="8"/>
      <c r="Y37" s="8"/>
      <c r="Z37" s="8"/>
      <c r="AA37" s="8"/>
      <c r="AB37" s="8"/>
      <c r="AC37" s="8"/>
      <c r="AD37" s="8"/>
      <c r="AE37" s="8"/>
      <c r="AF37" s="8"/>
      <c r="AG37" s="8"/>
      <c r="AH37" s="8"/>
      <c r="AL37" s="49">
        <v>43799</v>
      </c>
      <c r="AM37">
        <v>0.12</v>
      </c>
      <c r="AN37" s="60"/>
    </row>
    <row r="38" spans="1:40">
      <c r="A38" s="49">
        <v>44530</v>
      </c>
      <c r="B38">
        <v>433.13499999999999</v>
      </c>
      <c r="C38">
        <v>62.7209</v>
      </c>
      <c r="D38">
        <v>46.802799999999998</v>
      </c>
      <c r="E38" s="108">
        <v>115.098</v>
      </c>
      <c r="F38" s="108">
        <v>131.78200000000001</v>
      </c>
      <c r="G38">
        <v>126.616</v>
      </c>
      <c r="H38" s="108">
        <v>103.384</v>
      </c>
      <c r="I38" s="108">
        <v>165.5</v>
      </c>
      <c r="J38" s="108">
        <v>19.48</v>
      </c>
      <c r="K38" s="108">
        <v>57330</v>
      </c>
      <c r="M38" s="4">
        <f t="shared" si="3"/>
        <v>-8.0476538363766087E-3</v>
      </c>
      <c r="N38" s="4">
        <f t="shared" si="4"/>
        <v>-4.8902280357505781E-2</v>
      </c>
      <c r="O38" s="4">
        <f t="shared" si="5"/>
        <v>-2.8987551867220022E-2</v>
      </c>
      <c r="P38" s="4">
        <f t="shared" si="6"/>
        <v>1.0145512629232469E-2</v>
      </c>
      <c r="Q38" s="4">
        <f t="shared" si="7"/>
        <v>-3.0789248727199864E-3</v>
      </c>
      <c r="R38" s="4">
        <f t="shared" si="8"/>
        <v>7.6399057744953982E-3</v>
      </c>
      <c r="S38" s="4">
        <f t="shared" si="9"/>
        <v>-2.1133161642175421E-2</v>
      </c>
      <c r="T38" s="4">
        <f t="shared" si="10"/>
        <v>-6.9006900690069348E-3</v>
      </c>
      <c r="U38" s="4">
        <f t="shared" si="11"/>
        <v>-8.7587822014051561E-2</v>
      </c>
      <c r="V38" s="4">
        <f t="shared" si="12"/>
        <v>-8.4609366268022804E-2</v>
      </c>
      <c r="X38" s="8"/>
      <c r="Y38" s="8"/>
      <c r="Z38" s="8"/>
      <c r="AA38" s="8"/>
      <c r="AB38" s="8"/>
      <c r="AC38" s="8"/>
      <c r="AD38" s="8"/>
      <c r="AE38" s="8"/>
      <c r="AF38" s="8"/>
      <c r="AG38" s="8"/>
      <c r="AH38" s="8"/>
      <c r="AL38" s="49">
        <v>43830</v>
      </c>
      <c r="AM38">
        <v>0.14000000000000001</v>
      </c>
      <c r="AN38" s="60"/>
    </row>
    <row r="39" spans="1:40">
      <c r="A39" s="49">
        <v>44561</v>
      </c>
      <c r="B39">
        <v>453.16899999999998</v>
      </c>
      <c r="C39">
        <v>65.981700000000004</v>
      </c>
      <c r="D39">
        <v>47.522599999999997</v>
      </c>
      <c r="E39" s="108">
        <v>114.41</v>
      </c>
      <c r="F39" s="108">
        <v>131.50399999999999</v>
      </c>
      <c r="G39">
        <v>126.953</v>
      </c>
      <c r="H39" s="108">
        <v>113.42100000000001</v>
      </c>
      <c r="I39" s="108">
        <v>170.96</v>
      </c>
      <c r="J39" s="108">
        <v>20.78</v>
      </c>
      <c r="K39" s="108">
        <v>47019</v>
      </c>
      <c r="M39" s="4">
        <f t="shared" si="3"/>
        <v>4.6253477553187788E-2</v>
      </c>
      <c r="N39" s="4">
        <f t="shared" si="4"/>
        <v>5.1989049902026331E-2</v>
      </c>
      <c r="O39" s="4">
        <f t="shared" si="5"/>
        <v>1.5379421743998209E-2</v>
      </c>
      <c r="P39" s="4">
        <f t="shared" si="6"/>
        <v>-5.9775148134633303E-3</v>
      </c>
      <c r="Q39" s="4">
        <f t="shared" si="7"/>
        <v>-2.1095445508492812E-3</v>
      </c>
      <c r="R39" s="4">
        <f t="shared" si="8"/>
        <v>2.6615909521703679E-3</v>
      </c>
      <c r="S39" s="4">
        <f t="shared" si="9"/>
        <v>9.7084655265805217E-2</v>
      </c>
      <c r="T39" s="4">
        <f t="shared" si="10"/>
        <v>3.299093655589129E-2</v>
      </c>
      <c r="U39" s="4">
        <f t="shared" si="11"/>
        <v>6.6735112936345001E-2</v>
      </c>
      <c r="V39" s="4">
        <f t="shared" si="12"/>
        <v>-0.17985347985347985</v>
      </c>
      <c r="X39" s="9" t="s">
        <v>63</v>
      </c>
      <c r="Y39" s="2" t="s">
        <v>2</v>
      </c>
      <c r="Z39" s="2" t="s">
        <v>50</v>
      </c>
      <c r="AA39" s="2" t="s">
        <v>51</v>
      </c>
      <c r="AB39" s="2" t="s">
        <v>52</v>
      </c>
      <c r="AC39" s="2" t="s">
        <v>53</v>
      </c>
      <c r="AD39" s="2" t="s">
        <v>54</v>
      </c>
      <c r="AE39" s="2" t="s">
        <v>3</v>
      </c>
      <c r="AF39" s="2" t="s">
        <v>55</v>
      </c>
      <c r="AG39" s="2" t="s">
        <v>4</v>
      </c>
      <c r="AH39" s="2" t="s">
        <v>56</v>
      </c>
      <c r="AL39" s="49">
        <v>43861</v>
      </c>
      <c r="AM39">
        <v>0.13</v>
      </c>
      <c r="AN39" s="60"/>
    </row>
    <row r="40" spans="1:40">
      <c r="A40" s="49">
        <v>44592</v>
      </c>
      <c r="B40">
        <v>429.26900000000001</v>
      </c>
      <c r="C40">
        <v>63.622100000000003</v>
      </c>
      <c r="D40">
        <v>47.725000000000001</v>
      </c>
      <c r="E40" s="108">
        <v>112</v>
      </c>
      <c r="F40" s="108">
        <v>126.78</v>
      </c>
      <c r="G40">
        <v>124.339</v>
      </c>
      <c r="H40" s="108">
        <v>103.866</v>
      </c>
      <c r="I40" s="108">
        <v>168.09</v>
      </c>
      <c r="J40" s="108">
        <v>22.42</v>
      </c>
      <c r="K40" s="108">
        <v>38438</v>
      </c>
      <c r="M40" s="4">
        <f t="shared" si="3"/>
        <v>-5.2739706378856402E-2</v>
      </c>
      <c r="N40" s="4">
        <f t="shared" si="4"/>
        <v>-3.576143082097006E-2</v>
      </c>
      <c r="O40" s="4">
        <f t="shared" si="5"/>
        <v>4.2590262317298375E-3</v>
      </c>
      <c r="P40" s="4">
        <f t="shared" si="6"/>
        <v>-2.1064592255921655E-2</v>
      </c>
      <c r="Q40" s="4">
        <f t="shared" si="7"/>
        <v>-3.5922861662002599E-2</v>
      </c>
      <c r="R40" s="4">
        <f t="shared" si="8"/>
        <v>-2.0590297196600351E-2</v>
      </c>
      <c r="S40" s="4">
        <f t="shared" si="9"/>
        <v>-8.424365858174418E-2</v>
      </c>
      <c r="T40" s="4">
        <f t="shared" si="10"/>
        <v>-1.6787552643893335E-2</v>
      </c>
      <c r="U40" s="4">
        <f t="shared" si="11"/>
        <v>7.8922040423484136E-2</v>
      </c>
      <c r="V40" s="4">
        <f t="shared" si="12"/>
        <v>-0.18250069120993642</v>
      </c>
      <c r="X40" s="10" t="s">
        <v>2</v>
      </c>
      <c r="Y40" s="118" cm="1">
        <f t="array" ref="Y40:AH49">12*Y11:AH20</f>
        <v>2.7245392378774921E-2</v>
      </c>
      <c r="Z40" s="117">
        <v>2.4920526425198881E-2</v>
      </c>
      <c r="AA40" s="117">
        <v>1.8200737760451068E-2</v>
      </c>
      <c r="AB40" s="117">
        <v>2.9586092169413794E-3</v>
      </c>
      <c r="AC40" s="117">
        <v>1.0417546777605658E-2</v>
      </c>
      <c r="AD40" s="117">
        <v>5.8754840353933344E-3</v>
      </c>
      <c r="AE40" s="117">
        <v>2.553408189363561E-2</v>
      </c>
      <c r="AF40" s="117">
        <v>3.7832892052192925E-3</v>
      </c>
      <c r="AG40" s="117">
        <v>1.1722863285727057E-2</v>
      </c>
      <c r="AH40" s="117">
        <v>5.2600708486745765E-2</v>
      </c>
      <c r="AL40" s="49">
        <v>43890</v>
      </c>
      <c r="AM40">
        <v>0.12</v>
      </c>
      <c r="AN40" s="60"/>
    </row>
    <row r="41" spans="1:40">
      <c r="A41" s="49">
        <v>44620</v>
      </c>
      <c r="B41">
        <v>416.59800000000001</v>
      </c>
      <c r="C41">
        <v>60.2575</v>
      </c>
      <c r="D41">
        <v>45.947099999999999</v>
      </c>
      <c r="E41" s="108">
        <v>111.551</v>
      </c>
      <c r="F41" s="108">
        <v>123.836</v>
      </c>
      <c r="G41">
        <v>124.96299999999999</v>
      </c>
      <c r="H41" s="108">
        <v>100.248</v>
      </c>
      <c r="I41" s="108">
        <v>178.38</v>
      </c>
      <c r="J41" s="108">
        <v>23.87</v>
      </c>
      <c r="K41" s="108">
        <v>43107</v>
      </c>
      <c r="M41" s="4">
        <f t="shared" si="3"/>
        <v>-2.9517621817554941E-2</v>
      </c>
      <c r="N41" s="4">
        <f t="shared" si="4"/>
        <v>-5.288413931636967E-2</v>
      </c>
      <c r="O41" s="4">
        <f t="shared" si="5"/>
        <v>-3.725301204819282E-2</v>
      </c>
      <c r="P41" s="4">
        <f t="shared" si="6"/>
        <v>-4.0089285714285539E-3</v>
      </c>
      <c r="Q41" s="4">
        <f t="shared" si="7"/>
        <v>-2.3221328285218508E-2</v>
      </c>
      <c r="R41" s="4">
        <f t="shared" si="8"/>
        <v>5.0185380290978313E-3</v>
      </c>
      <c r="S41" s="4">
        <f t="shared" si="9"/>
        <v>-3.4833342961122934E-2</v>
      </c>
      <c r="T41" s="4">
        <f t="shared" si="10"/>
        <v>6.1217205068713143E-2</v>
      </c>
      <c r="U41" s="4">
        <f t="shared" si="11"/>
        <v>6.4674397859054378E-2</v>
      </c>
      <c r="V41" s="4">
        <f t="shared" si="12"/>
        <v>0.12146833862323742</v>
      </c>
      <c r="X41" s="10" t="s">
        <v>50</v>
      </c>
      <c r="Y41" s="117">
        <v>2.4920526425198881E-2</v>
      </c>
      <c r="Z41" s="48">
        <v>3.2724372551132579E-2</v>
      </c>
      <c r="AA41" s="117">
        <v>2.2341380224269444E-2</v>
      </c>
      <c r="AB41" s="117">
        <v>3.8442388701621479E-3</v>
      </c>
      <c r="AC41" s="117">
        <v>1.176186174836083E-2</v>
      </c>
      <c r="AD41" s="117">
        <v>6.2484226166372881E-3</v>
      </c>
      <c r="AE41" s="117">
        <v>2.7011908632244831E-2</v>
      </c>
      <c r="AF41" s="117">
        <v>7.4009736512547462E-3</v>
      </c>
      <c r="AG41" s="117">
        <v>1.5078434215484488E-2</v>
      </c>
      <c r="AH41" s="117">
        <v>4.1839950927754985E-2</v>
      </c>
      <c r="AL41" s="49">
        <v>43921</v>
      </c>
      <c r="AM41">
        <v>0.12</v>
      </c>
      <c r="AN41" s="60"/>
    </row>
    <row r="42" spans="1:40">
      <c r="A42" s="49">
        <v>44651</v>
      </c>
      <c r="B42">
        <v>432.267</v>
      </c>
      <c r="C42">
        <v>60.352499999999999</v>
      </c>
      <c r="D42">
        <v>44.451700000000002</v>
      </c>
      <c r="E42" s="108">
        <v>106.919</v>
      </c>
      <c r="F42" s="108">
        <v>120.00700000000001</v>
      </c>
      <c r="G42">
        <v>122.398</v>
      </c>
      <c r="H42" s="108">
        <v>106.53</v>
      </c>
      <c r="I42" s="108">
        <v>180.65</v>
      </c>
      <c r="J42" s="108">
        <v>26.06</v>
      </c>
      <c r="K42" s="108">
        <v>45775</v>
      </c>
      <c r="M42" s="4">
        <f t="shared" si="3"/>
        <v>3.7611798424380297E-2</v>
      </c>
      <c r="N42" s="4">
        <f t="shared" si="4"/>
        <v>1.5765672322947163E-3</v>
      </c>
      <c r="O42" s="4">
        <f t="shared" si="5"/>
        <v>-3.2546123694422426E-2</v>
      </c>
      <c r="P42" s="4">
        <f t="shared" si="6"/>
        <v>-4.1523608035786364E-2</v>
      </c>
      <c r="Q42" s="4">
        <f t="shared" si="7"/>
        <v>-3.0919926354210356E-2</v>
      </c>
      <c r="R42" s="4">
        <f t="shared" si="8"/>
        <v>-2.0526075718412633E-2</v>
      </c>
      <c r="S42" s="4">
        <f t="shared" si="9"/>
        <v>6.2664591812305451E-2</v>
      </c>
      <c r="T42" s="4">
        <f t="shared" si="10"/>
        <v>1.2725641888104105E-2</v>
      </c>
      <c r="U42" s="4">
        <f t="shared" si="11"/>
        <v>9.1746962714704547E-2</v>
      </c>
      <c r="V42" s="4">
        <f t="shared" si="12"/>
        <v>6.1892500057995223E-2</v>
      </c>
      <c r="X42" s="10" t="s">
        <v>51</v>
      </c>
      <c r="Y42" s="117">
        <v>1.8200737760451068E-2</v>
      </c>
      <c r="Z42" s="117">
        <v>2.2341380224269444E-2</v>
      </c>
      <c r="AA42" s="48">
        <v>2.5598193281807506E-2</v>
      </c>
      <c r="AB42" s="117">
        <v>2.5346501102882042E-3</v>
      </c>
      <c r="AC42" s="117">
        <v>9.7773617275056339E-3</v>
      </c>
      <c r="AD42" s="117">
        <v>4.3593140249713717E-3</v>
      </c>
      <c r="AE42" s="117">
        <v>1.8785846961237519E-2</v>
      </c>
      <c r="AF42" s="117">
        <v>8.0298306116058527E-3</v>
      </c>
      <c r="AG42" s="117">
        <v>1.3519761243966661E-2</v>
      </c>
      <c r="AH42" s="117">
        <v>2.8353901863633266E-2</v>
      </c>
      <c r="AL42" s="49">
        <v>43951</v>
      </c>
      <c r="AM42">
        <v>0</v>
      </c>
      <c r="AN42" s="60"/>
    </row>
    <row r="43" spans="1:40">
      <c r="A43" s="49">
        <v>44681</v>
      </c>
      <c r="B43">
        <v>394.327</v>
      </c>
      <c r="C43">
        <v>56.582900000000002</v>
      </c>
      <c r="D43">
        <v>41.859499999999997</v>
      </c>
      <c r="E43" s="108">
        <v>102.28700000000001</v>
      </c>
      <c r="F43" s="108">
        <v>111.733</v>
      </c>
      <c r="G43">
        <v>118.962</v>
      </c>
      <c r="H43" s="108">
        <v>102.175</v>
      </c>
      <c r="I43" s="108">
        <v>176.91</v>
      </c>
      <c r="J43" s="108">
        <v>27.53</v>
      </c>
      <c r="K43" s="108">
        <v>38322</v>
      </c>
      <c r="M43" s="4">
        <f t="shared" si="3"/>
        <v>-8.7769827444611773E-2</v>
      </c>
      <c r="N43" s="4">
        <f t="shared" si="4"/>
        <v>-6.2459715836129359E-2</v>
      </c>
      <c r="O43" s="4">
        <f t="shared" si="5"/>
        <v>-5.8314980079502136E-2</v>
      </c>
      <c r="P43" s="4">
        <f t="shared" si="6"/>
        <v>-4.3322515175038961E-2</v>
      </c>
      <c r="Q43" s="4">
        <f t="shared" si="7"/>
        <v>-6.8945978151274512E-2</v>
      </c>
      <c r="R43" s="4">
        <f t="shared" si="8"/>
        <v>-2.807235412343333E-2</v>
      </c>
      <c r="S43" s="4">
        <f t="shared" si="9"/>
        <v>-4.0880503144654128E-2</v>
      </c>
      <c r="T43" s="4">
        <f t="shared" si="10"/>
        <v>-2.0703016883476383E-2</v>
      </c>
      <c r="U43" s="4">
        <f t="shared" si="11"/>
        <v>5.6408288564850438E-2</v>
      </c>
      <c r="V43" s="4">
        <f t="shared" si="12"/>
        <v>-0.16281813216821409</v>
      </c>
      <c r="X43" s="10" t="s">
        <v>52</v>
      </c>
      <c r="Y43" s="117">
        <v>2.9586092169413794E-3</v>
      </c>
      <c r="Z43" s="117">
        <v>3.8442388701621479E-3</v>
      </c>
      <c r="AA43" s="117">
        <v>2.5346501102882042E-3</v>
      </c>
      <c r="AB43" s="48">
        <v>5.3181586931357779E-3</v>
      </c>
      <c r="AC43" s="117">
        <v>5.4384296986811787E-3</v>
      </c>
      <c r="AD43" s="117">
        <v>3.4063017454874847E-3</v>
      </c>
      <c r="AE43" s="117">
        <v>5.4559542627859144E-3</v>
      </c>
      <c r="AF43" s="117">
        <v>3.8949749870859302E-3</v>
      </c>
      <c r="AG43" s="117">
        <v>-3.5924450832211267E-3</v>
      </c>
      <c r="AH43" s="117">
        <v>5.96982949788211E-3</v>
      </c>
      <c r="AL43" s="49">
        <v>43982</v>
      </c>
      <c r="AM43">
        <v>0.01</v>
      </c>
      <c r="AN43" s="60"/>
    </row>
    <row r="44" spans="1:40">
      <c r="A44" s="49">
        <v>44712</v>
      </c>
      <c r="B44">
        <v>395.21600000000001</v>
      </c>
      <c r="C44">
        <v>57.949199999999998</v>
      </c>
      <c r="D44">
        <v>42.052199999999999</v>
      </c>
      <c r="E44" s="108">
        <v>102.92400000000001</v>
      </c>
      <c r="F44" s="108">
        <v>113.81100000000001</v>
      </c>
      <c r="G44">
        <v>117.783</v>
      </c>
      <c r="H44" s="108">
        <v>97.388000000000005</v>
      </c>
      <c r="I44" s="108">
        <v>171.14</v>
      </c>
      <c r="J44" s="108">
        <v>28.8</v>
      </c>
      <c r="K44" s="108">
        <v>31672.9</v>
      </c>
      <c r="M44" s="4">
        <f t="shared" si="3"/>
        <v>2.2544740786200538E-3</v>
      </c>
      <c r="N44" s="4">
        <f t="shared" si="4"/>
        <v>2.4146871227879719E-2</v>
      </c>
      <c r="O44" s="4">
        <f t="shared" si="5"/>
        <v>4.6034950250242387E-3</v>
      </c>
      <c r="P44" s="4">
        <f t="shared" si="6"/>
        <v>6.2275753517064773E-3</v>
      </c>
      <c r="Q44" s="4">
        <f t="shared" si="7"/>
        <v>1.8597907511657279E-2</v>
      </c>
      <c r="R44" s="4">
        <f t="shared" si="8"/>
        <v>-9.91072779543049E-3</v>
      </c>
      <c r="S44" s="4">
        <f t="shared" si="9"/>
        <v>-4.6850990946904744E-2</v>
      </c>
      <c r="T44" s="4">
        <f t="shared" si="10"/>
        <v>-3.2615454185744221E-2</v>
      </c>
      <c r="U44" s="4">
        <f t="shared" si="11"/>
        <v>4.6131492916818E-2</v>
      </c>
      <c r="V44" s="4">
        <f t="shared" si="12"/>
        <v>-0.17350608005845203</v>
      </c>
      <c r="X44" s="10" t="s">
        <v>53</v>
      </c>
      <c r="Y44" s="117">
        <v>1.0417546777605658E-2</v>
      </c>
      <c r="Z44" s="117">
        <v>1.176186174836083E-2</v>
      </c>
      <c r="AA44" s="117">
        <v>9.7773617275056339E-3</v>
      </c>
      <c r="AB44" s="117">
        <v>5.4384296986811787E-3</v>
      </c>
      <c r="AC44" s="48">
        <v>9.0637614193523341E-3</v>
      </c>
      <c r="AD44" s="117">
        <v>4.7569478786812659E-3</v>
      </c>
      <c r="AE44" s="117">
        <v>1.3205466765324775E-2</v>
      </c>
      <c r="AF44" s="117">
        <v>5.2606361933296856E-3</v>
      </c>
      <c r="AG44" s="117">
        <v>1.3526926185479032E-3</v>
      </c>
      <c r="AH44" s="117">
        <v>2.0552302823237487E-2</v>
      </c>
      <c r="AL44" s="49">
        <v>44012</v>
      </c>
      <c r="AM44">
        <v>0.01</v>
      </c>
      <c r="AN44" s="60"/>
    </row>
    <row r="45" spans="1:40">
      <c r="A45" s="49">
        <v>44742</v>
      </c>
      <c r="B45">
        <v>362.62900000000002</v>
      </c>
      <c r="C45">
        <v>52.2134</v>
      </c>
      <c r="D45">
        <v>40.433100000000003</v>
      </c>
      <c r="E45" s="108">
        <v>101.90900000000001</v>
      </c>
      <c r="F45" s="108">
        <v>109.425</v>
      </c>
      <c r="G45">
        <v>112.80200000000001</v>
      </c>
      <c r="H45" s="108">
        <v>90.133700000000005</v>
      </c>
      <c r="I45" s="108">
        <v>168.46</v>
      </c>
      <c r="J45" s="108">
        <v>26.64</v>
      </c>
      <c r="K45" s="108">
        <v>18797.2</v>
      </c>
      <c r="M45" s="4">
        <f t="shared" si="3"/>
        <v>-8.2453645601392622E-2</v>
      </c>
      <c r="N45" s="4">
        <f t="shared" si="4"/>
        <v>-9.8979796097271366E-2</v>
      </c>
      <c r="O45" s="4">
        <f t="shared" si="5"/>
        <v>-3.8502147331174019E-2</v>
      </c>
      <c r="P45" s="4">
        <f t="shared" si="6"/>
        <v>-9.8616454859896674E-3</v>
      </c>
      <c r="Q45" s="4">
        <f t="shared" si="7"/>
        <v>-3.8537575454042315E-2</v>
      </c>
      <c r="R45" s="4">
        <f t="shared" si="8"/>
        <v>-4.2289634327534485E-2</v>
      </c>
      <c r="S45" s="4">
        <f t="shared" si="9"/>
        <v>-7.4488643364685594E-2</v>
      </c>
      <c r="T45" s="4">
        <f t="shared" si="10"/>
        <v>-1.5659693817926718E-2</v>
      </c>
      <c r="U45" s="4">
        <f t="shared" si="11"/>
        <v>-7.4999999999999997E-2</v>
      </c>
      <c r="V45" s="4">
        <f t="shared" si="12"/>
        <v>-0.40652103217577173</v>
      </c>
      <c r="X45" s="10" t="s">
        <v>54</v>
      </c>
      <c r="Y45" s="117">
        <v>5.8754840353933344E-3</v>
      </c>
      <c r="Z45" s="117">
        <v>6.2484226166372881E-3</v>
      </c>
      <c r="AA45" s="117">
        <v>4.3593140249713717E-3</v>
      </c>
      <c r="AB45" s="117">
        <v>3.4063017454874847E-3</v>
      </c>
      <c r="AC45" s="117">
        <v>4.7569478786812659E-3</v>
      </c>
      <c r="AD45" s="48">
        <v>3.677210279866441E-3</v>
      </c>
      <c r="AE45" s="117">
        <v>7.6913704160615805E-3</v>
      </c>
      <c r="AF45" s="117">
        <v>3.6959914715421448E-3</v>
      </c>
      <c r="AG45" s="117">
        <v>8.792821594306925E-4</v>
      </c>
      <c r="AH45" s="117">
        <v>1.4510373913701195E-2</v>
      </c>
      <c r="AL45" s="49">
        <v>44043</v>
      </c>
      <c r="AM45">
        <v>0.01</v>
      </c>
      <c r="AN45" s="60"/>
    </row>
    <row r="46" spans="1:40">
      <c r="A46" s="49">
        <v>44773</v>
      </c>
      <c r="B46">
        <v>396.02300000000002</v>
      </c>
      <c r="C46">
        <v>54.8232</v>
      </c>
      <c r="D46">
        <v>40.112699999999997</v>
      </c>
      <c r="E46" s="108">
        <v>104.768</v>
      </c>
      <c r="F46" s="108">
        <v>113.98</v>
      </c>
      <c r="G46">
        <v>117.08</v>
      </c>
      <c r="H46" s="108">
        <v>97.899500000000003</v>
      </c>
      <c r="I46" s="108">
        <v>164.1</v>
      </c>
      <c r="J46" s="108">
        <v>26.11</v>
      </c>
      <c r="K46" s="108">
        <v>23908.799999999999</v>
      </c>
      <c r="M46" s="4">
        <f t="shared" si="3"/>
        <v>9.20886084676074E-2</v>
      </c>
      <c r="N46" s="4">
        <f t="shared" si="4"/>
        <v>4.9983337610651671E-2</v>
      </c>
      <c r="O46" s="4">
        <f t="shared" si="5"/>
        <v>-7.9242007167396617E-3</v>
      </c>
      <c r="P46" s="4">
        <f t="shared" si="6"/>
        <v>2.8054440726530478E-2</v>
      </c>
      <c r="Q46" s="4">
        <f t="shared" si="7"/>
        <v>4.1626684944025653E-2</v>
      </c>
      <c r="R46" s="4">
        <f t="shared" si="8"/>
        <v>3.7924859488306865E-2</v>
      </c>
      <c r="S46" s="4">
        <f t="shared" si="9"/>
        <v>8.615867317107806E-2</v>
      </c>
      <c r="T46" s="4">
        <f t="shared" si="10"/>
        <v>-2.588151489967953E-2</v>
      </c>
      <c r="U46" s="4">
        <f t="shared" si="11"/>
        <v>-1.9894894894894936E-2</v>
      </c>
      <c r="V46" s="4">
        <f t="shared" si="12"/>
        <v>0.2719341178473389</v>
      </c>
      <c r="X46" s="10" t="s">
        <v>3</v>
      </c>
      <c r="Y46" s="117">
        <v>2.553408189363561E-2</v>
      </c>
      <c r="Z46" s="117">
        <v>2.7011908632244831E-2</v>
      </c>
      <c r="AA46" s="117">
        <v>1.8785846961237519E-2</v>
      </c>
      <c r="AB46" s="117">
        <v>5.4559542627859144E-3</v>
      </c>
      <c r="AC46" s="117">
        <v>1.3205466765324775E-2</v>
      </c>
      <c r="AD46" s="117">
        <v>7.6913704160615805E-3</v>
      </c>
      <c r="AE46" s="48">
        <v>3.593260633100908E-2</v>
      </c>
      <c r="AF46" s="117">
        <v>5.9389021596777947E-3</v>
      </c>
      <c r="AG46" s="117">
        <v>1.1523345775086759E-2</v>
      </c>
      <c r="AH46" s="117">
        <v>5.2191556242990697E-2</v>
      </c>
      <c r="AL46" s="49">
        <v>44074</v>
      </c>
      <c r="AM46">
        <v>0.01</v>
      </c>
      <c r="AN46" s="60"/>
    </row>
    <row r="47" spans="1:40">
      <c r="A47" s="49">
        <v>44804</v>
      </c>
      <c r="B47">
        <v>379.86500000000001</v>
      </c>
      <c r="C47">
        <v>50.730600000000003</v>
      </c>
      <c r="D47">
        <v>39.9283</v>
      </c>
      <c r="E47" s="108">
        <v>100.726</v>
      </c>
      <c r="F47" s="108">
        <v>108.93600000000001</v>
      </c>
      <c r="G47">
        <v>113.91</v>
      </c>
      <c r="H47" s="108">
        <v>92.013300000000001</v>
      </c>
      <c r="I47" s="108">
        <v>159.27000000000001</v>
      </c>
      <c r="J47" s="108">
        <v>25.72</v>
      </c>
      <c r="K47" s="108">
        <v>20286.3</v>
      </c>
      <c r="M47" s="4">
        <f t="shared" si="3"/>
        <v>-4.0800660567694338E-2</v>
      </c>
      <c r="N47" s="4">
        <f t="shared" si="4"/>
        <v>-7.4650877730595755E-2</v>
      </c>
      <c r="O47" s="4">
        <f t="shared" si="5"/>
        <v>-4.5970478177733386E-3</v>
      </c>
      <c r="P47" s="4">
        <f t="shared" si="6"/>
        <v>-3.8580482590103861E-2</v>
      </c>
      <c r="Q47" s="4">
        <f t="shared" si="7"/>
        <v>-4.4253377785576385E-2</v>
      </c>
      <c r="R47" s="4">
        <f t="shared" si="8"/>
        <v>-2.7075503928937494E-2</v>
      </c>
      <c r="S47" s="4">
        <f t="shared" si="9"/>
        <v>-6.0124924029234084E-2</v>
      </c>
      <c r="T47" s="4">
        <f t="shared" si="10"/>
        <v>-2.9433272394881076E-2</v>
      </c>
      <c r="U47" s="4">
        <f t="shared" si="11"/>
        <v>-1.4936805821524343E-2</v>
      </c>
      <c r="V47" s="4">
        <f t="shared" si="12"/>
        <v>-0.15151325035133509</v>
      </c>
      <c r="X47" s="10" t="s">
        <v>55</v>
      </c>
      <c r="Y47" s="117">
        <v>3.7832892052192925E-3</v>
      </c>
      <c r="Z47" s="117">
        <v>7.4009736512547462E-3</v>
      </c>
      <c r="AA47" s="117">
        <v>8.0298306116058527E-3</v>
      </c>
      <c r="AB47" s="117">
        <v>3.8949749870859302E-3</v>
      </c>
      <c r="AC47" s="117">
        <v>5.2606361933296856E-3</v>
      </c>
      <c r="AD47" s="117">
        <v>3.6959914715421448E-3</v>
      </c>
      <c r="AE47" s="117">
        <v>5.9389021596777947E-3</v>
      </c>
      <c r="AF47" s="48">
        <v>2.1113621897277828E-2</v>
      </c>
      <c r="AG47" s="117">
        <v>8.7644926881815877E-4</v>
      </c>
      <c r="AH47" s="117">
        <v>1.3270691866632859E-2</v>
      </c>
      <c r="AL47" s="49">
        <v>44104</v>
      </c>
      <c r="AM47">
        <v>0.01</v>
      </c>
      <c r="AN47" s="60"/>
    </row>
    <row r="48" spans="1:40">
      <c r="A48" s="49">
        <v>44834</v>
      </c>
      <c r="B48">
        <v>344.75</v>
      </c>
      <c r="C48">
        <v>45.819299999999998</v>
      </c>
      <c r="D48">
        <v>35.903500000000001</v>
      </c>
      <c r="E48" s="108">
        <v>95.786699999999996</v>
      </c>
      <c r="F48" s="108">
        <v>102.137</v>
      </c>
      <c r="G48">
        <v>104.9</v>
      </c>
      <c r="H48" s="108">
        <v>80.17</v>
      </c>
      <c r="I48" s="108">
        <v>154.66999999999999</v>
      </c>
      <c r="J48" s="108">
        <v>23.91</v>
      </c>
      <c r="K48" s="108">
        <v>19473.3</v>
      </c>
      <c r="M48" s="4">
        <f t="shared" si="3"/>
        <v>-9.2440735524462664E-2</v>
      </c>
      <c r="N48" s="4">
        <f t="shared" si="4"/>
        <v>-9.6811391940958794E-2</v>
      </c>
      <c r="O48" s="4">
        <f t="shared" si="5"/>
        <v>-0.10080068522827165</v>
      </c>
      <c r="P48" s="4">
        <f t="shared" si="6"/>
        <v>-4.9036991442130168E-2</v>
      </c>
      <c r="Q48" s="4">
        <f t="shared" si="7"/>
        <v>-6.2412792832488857E-2</v>
      </c>
      <c r="R48" s="4">
        <f t="shared" si="8"/>
        <v>-7.9097533140198323E-2</v>
      </c>
      <c r="S48" s="4">
        <f t="shared" si="9"/>
        <v>-0.12871291432868942</v>
      </c>
      <c r="T48" s="4">
        <f t="shared" si="10"/>
        <v>-2.8881773089721997E-2</v>
      </c>
      <c r="U48" s="4">
        <f t="shared" si="11"/>
        <v>-7.0373250388802447E-2</v>
      </c>
      <c r="V48" s="4">
        <f t="shared" si="12"/>
        <v>-4.007630765590571E-2</v>
      </c>
      <c r="X48" s="10" t="s">
        <v>4</v>
      </c>
      <c r="Y48" s="117">
        <v>1.1722863285727057E-2</v>
      </c>
      <c r="Z48" s="117">
        <v>1.5078434215484488E-2</v>
      </c>
      <c r="AA48" s="117">
        <v>1.3519761243966661E-2</v>
      </c>
      <c r="AB48" s="117">
        <v>-3.5924450832211267E-3</v>
      </c>
      <c r="AC48" s="117">
        <v>1.3526926185479032E-3</v>
      </c>
      <c r="AD48" s="117">
        <v>8.792821594306925E-4</v>
      </c>
      <c r="AE48" s="117">
        <v>1.1523345775086759E-2</v>
      </c>
      <c r="AF48" s="117">
        <v>8.7644926881815877E-4</v>
      </c>
      <c r="AG48" s="48">
        <v>2.9177882650502793E-2</v>
      </c>
      <c r="AH48" s="117">
        <v>1.2547709671860918E-2</v>
      </c>
      <c r="AL48" s="49">
        <v>44135</v>
      </c>
      <c r="AM48">
        <v>0.01</v>
      </c>
      <c r="AN48" s="60"/>
    </row>
    <row r="49" spans="1:40">
      <c r="A49" s="49">
        <v>44865</v>
      </c>
      <c r="B49">
        <v>372.77199999999999</v>
      </c>
      <c r="C49">
        <v>49.681399999999996</v>
      </c>
      <c r="D49">
        <v>34.880299999999998</v>
      </c>
      <c r="E49" s="108">
        <v>94.21</v>
      </c>
      <c r="F49" s="108">
        <v>101.04</v>
      </c>
      <c r="G49">
        <v>106.39</v>
      </c>
      <c r="H49" s="108">
        <v>82.98</v>
      </c>
      <c r="I49" s="108">
        <v>151.91</v>
      </c>
      <c r="J49" s="108">
        <v>25.12</v>
      </c>
      <c r="K49" s="108">
        <v>20473.3</v>
      </c>
      <c r="M49" s="4">
        <f t="shared" si="3"/>
        <v>8.12820884699057E-2</v>
      </c>
      <c r="N49" s="4">
        <f t="shared" si="4"/>
        <v>8.4289808006669645E-2</v>
      </c>
      <c r="O49" s="4">
        <f t="shared" si="5"/>
        <v>-2.849861434122029E-2</v>
      </c>
      <c r="P49" s="4">
        <f t="shared" si="6"/>
        <v>-1.6460531576930854E-2</v>
      </c>
      <c r="Q49" s="4">
        <f t="shared" si="7"/>
        <v>-1.0740476027296613E-2</v>
      </c>
      <c r="R49" s="4">
        <f t="shared" si="8"/>
        <v>1.4204003813155336E-2</v>
      </c>
      <c r="S49" s="4">
        <f t="shared" si="9"/>
        <v>3.5050517649993791E-2</v>
      </c>
      <c r="T49" s="4">
        <f t="shared" si="10"/>
        <v>-1.7844443007693743E-2</v>
      </c>
      <c r="U49" s="4">
        <f t="shared" si="11"/>
        <v>5.0606440819740729E-2</v>
      </c>
      <c r="V49" s="4">
        <f t="shared" si="12"/>
        <v>5.1352364519624306E-2</v>
      </c>
      <c r="X49" s="10" t="s">
        <v>56</v>
      </c>
      <c r="Y49" s="117">
        <v>5.2600708486745765E-2</v>
      </c>
      <c r="Z49" s="117">
        <v>4.1839950927754985E-2</v>
      </c>
      <c r="AA49" s="117">
        <v>2.8353901863633266E-2</v>
      </c>
      <c r="AB49" s="117">
        <v>5.96982949788211E-3</v>
      </c>
      <c r="AC49" s="117">
        <v>2.0552302823237487E-2</v>
      </c>
      <c r="AD49" s="117">
        <v>1.4510373913701195E-2</v>
      </c>
      <c r="AE49" s="117">
        <v>5.2191556242990697E-2</v>
      </c>
      <c r="AF49" s="117">
        <v>1.3270691866632859E-2</v>
      </c>
      <c r="AG49" s="117">
        <v>1.2547709671860918E-2</v>
      </c>
      <c r="AH49" s="48">
        <v>0.47791715709129884</v>
      </c>
      <c r="AL49" s="49">
        <v>44165</v>
      </c>
      <c r="AM49">
        <v>0.01</v>
      </c>
      <c r="AN49" s="60"/>
    </row>
    <row r="50" spans="1:40">
      <c r="A50" s="49">
        <v>44895</v>
      </c>
      <c r="B50">
        <v>393.49599999999998</v>
      </c>
      <c r="C50">
        <v>56.383000000000003</v>
      </c>
      <c r="D50">
        <v>39.8688</v>
      </c>
      <c r="E50" s="108">
        <v>97.61</v>
      </c>
      <c r="F50" s="108">
        <v>107.76</v>
      </c>
      <c r="G50">
        <v>108.34</v>
      </c>
      <c r="H50" s="108">
        <v>88.08</v>
      </c>
      <c r="I50" s="108">
        <v>164.81</v>
      </c>
      <c r="J50" s="108">
        <v>25.49</v>
      </c>
      <c r="K50" s="108">
        <v>17158.099999999999</v>
      </c>
      <c r="M50" s="4">
        <f t="shared" si="3"/>
        <v>5.559430429324088E-2</v>
      </c>
      <c r="N50" s="4">
        <f t="shared" si="4"/>
        <v>0.1348915288216517</v>
      </c>
      <c r="O50" s="4">
        <f t="shared" si="5"/>
        <v>0.14301769193498914</v>
      </c>
      <c r="P50" s="4">
        <f t="shared" si="6"/>
        <v>3.6089587092665382E-2</v>
      </c>
      <c r="Q50" s="4">
        <f t="shared" si="7"/>
        <v>6.6508313539192385E-2</v>
      </c>
      <c r="R50" s="4">
        <f t="shared" si="8"/>
        <v>1.8328790299840237E-2</v>
      </c>
      <c r="S50" s="4">
        <f t="shared" si="9"/>
        <v>6.14605929139551E-2</v>
      </c>
      <c r="T50" s="4">
        <f t="shared" si="10"/>
        <v>8.4918701862945201E-2</v>
      </c>
      <c r="U50" s="4">
        <f t="shared" si="11"/>
        <v>1.4729299363057223E-2</v>
      </c>
      <c r="V50" s="4">
        <f t="shared" si="12"/>
        <v>-0.16192797448383997</v>
      </c>
      <c r="AL50" s="49">
        <v>44196</v>
      </c>
      <c r="AM50">
        <v>0.01</v>
      </c>
      <c r="AN50" s="60"/>
    </row>
    <row r="51" spans="1:40">
      <c r="A51" s="49">
        <v>44926</v>
      </c>
      <c r="B51">
        <v>370.81900000000002</v>
      </c>
      <c r="C51">
        <v>55.44</v>
      </c>
      <c r="D51">
        <v>38.979999999999997</v>
      </c>
      <c r="E51" s="108">
        <v>95.78</v>
      </c>
      <c r="F51" s="108">
        <v>105.43</v>
      </c>
      <c r="G51">
        <v>106.44</v>
      </c>
      <c r="H51" s="108">
        <v>82.48</v>
      </c>
      <c r="I51" s="108">
        <v>169.64</v>
      </c>
      <c r="J51" s="108">
        <v>24.65</v>
      </c>
      <c r="K51" s="108">
        <v>16590.7</v>
      </c>
      <c r="M51" s="4">
        <f t="shared" si="3"/>
        <v>-5.7629556590155846E-2</v>
      </c>
      <c r="N51" s="4">
        <f t="shared" si="4"/>
        <v>-1.6724899349094671E-2</v>
      </c>
      <c r="O51" s="4">
        <f t="shared" si="5"/>
        <v>-2.2293121438317767E-2</v>
      </c>
      <c r="P51" s="4">
        <f t="shared" si="6"/>
        <v>-1.8748079090257129E-2</v>
      </c>
      <c r="Q51" s="4">
        <f t="shared" si="7"/>
        <v>-2.1622123236822551E-2</v>
      </c>
      <c r="R51" s="4">
        <f t="shared" si="8"/>
        <v>-1.7537382314934517E-2</v>
      </c>
      <c r="S51" s="4">
        <f t="shared" si="9"/>
        <v>-6.3578564940962701E-2</v>
      </c>
      <c r="T51" s="4">
        <f t="shared" si="10"/>
        <v>2.9306474121715817E-2</v>
      </c>
      <c r="U51" s="4">
        <f t="shared" si="11"/>
        <v>-3.2954099646920358E-2</v>
      </c>
      <c r="V51" s="4">
        <f t="shared" si="12"/>
        <v>-3.3068929543480799E-2</v>
      </c>
      <c r="AL51" s="49">
        <v>44227</v>
      </c>
      <c r="AM51">
        <v>0</v>
      </c>
      <c r="AN51" s="60"/>
    </row>
    <row r="52" spans="1:40">
      <c r="A52" s="49">
        <v>44957</v>
      </c>
      <c r="B52">
        <v>394.13900000000001</v>
      </c>
      <c r="C52">
        <v>60.74</v>
      </c>
      <c r="D52">
        <v>42.23</v>
      </c>
      <c r="E52" s="108">
        <v>99.21</v>
      </c>
      <c r="F52" s="108">
        <v>110.87</v>
      </c>
      <c r="G52">
        <v>108.65</v>
      </c>
      <c r="H52" s="108">
        <v>91.06</v>
      </c>
      <c r="I52" s="108">
        <v>179.41</v>
      </c>
      <c r="J52" s="108">
        <v>24.87</v>
      </c>
      <c r="K52" s="108">
        <v>23181.8</v>
      </c>
      <c r="M52" s="4">
        <f t="shared" si="3"/>
        <v>6.2887823978814442E-2</v>
      </c>
      <c r="N52" s="4">
        <f t="shared" si="4"/>
        <v>9.5598845598845683E-2</v>
      </c>
      <c r="O52" s="4">
        <f t="shared" si="5"/>
        <v>8.337609030271935E-2</v>
      </c>
      <c r="P52" s="4">
        <f t="shared" si="6"/>
        <v>3.5811234078095555E-2</v>
      </c>
      <c r="Q52" s="4">
        <f t="shared" si="7"/>
        <v>5.1598216826330243E-2</v>
      </c>
      <c r="R52" s="4">
        <f t="shared" si="8"/>
        <v>2.0762871101089892E-2</v>
      </c>
      <c r="S52" s="4">
        <f t="shared" si="9"/>
        <v>0.10402521823472355</v>
      </c>
      <c r="T52" s="4">
        <f t="shared" si="10"/>
        <v>5.7592548927139893E-2</v>
      </c>
      <c r="U52" s="4">
        <f t="shared" si="11"/>
        <v>8.9249492900609507E-3</v>
      </c>
      <c r="V52" s="4">
        <f t="shared" si="12"/>
        <v>0.397276787597871</v>
      </c>
      <c r="AL52" s="49">
        <v>44255</v>
      </c>
      <c r="AM52">
        <v>0</v>
      </c>
      <c r="AN52" s="60"/>
    </row>
    <row r="53" spans="1:40">
      <c r="A53" s="49">
        <v>44985</v>
      </c>
      <c r="B53">
        <v>384.22699999999998</v>
      </c>
      <c r="C53">
        <v>59.7</v>
      </c>
      <c r="D53">
        <v>39.42</v>
      </c>
      <c r="E53" s="108">
        <v>95.76</v>
      </c>
      <c r="F53" s="108">
        <v>105.92</v>
      </c>
      <c r="G53">
        <v>107.18</v>
      </c>
      <c r="H53" s="108">
        <v>85.72</v>
      </c>
      <c r="I53" s="108">
        <v>169.78</v>
      </c>
      <c r="J53" s="108">
        <v>23.76</v>
      </c>
      <c r="K53" s="108">
        <v>23158.9</v>
      </c>
      <c r="M53" s="4">
        <f t="shared" si="3"/>
        <v>-2.5148488223697817E-2</v>
      </c>
      <c r="N53" s="4">
        <f t="shared" si="4"/>
        <v>-1.712216002634177E-2</v>
      </c>
      <c r="O53" s="4">
        <f t="shared" si="5"/>
        <v>-6.654037414160538E-2</v>
      </c>
      <c r="P53" s="4">
        <f t="shared" si="6"/>
        <v>-3.4774720290293208E-2</v>
      </c>
      <c r="Q53" s="4">
        <f t="shared" si="7"/>
        <v>-4.4646883737710856E-2</v>
      </c>
      <c r="R53" s="4">
        <f t="shared" si="8"/>
        <v>-1.3529682466635976E-2</v>
      </c>
      <c r="S53" s="4">
        <f t="shared" si="9"/>
        <v>-5.8642653195695185E-2</v>
      </c>
      <c r="T53" s="4">
        <f t="shared" si="10"/>
        <v>-5.3675937796109442E-2</v>
      </c>
      <c r="U53" s="4">
        <f t="shared" si="11"/>
        <v>-4.4632086851628443E-2</v>
      </c>
      <c r="V53" s="4">
        <f t="shared" si="12"/>
        <v>-9.8784391203434667E-4</v>
      </c>
      <c r="AL53" s="49">
        <v>44286</v>
      </c>
      <c r="AM53">
        <v>0</v>
      </c>
      <c r="AN53" s="60"/>
    </row>
    <row r="54" spans="1:40">
      <c r="A54" s="49">
        <v>45016</v>
      </c>
      <c r="B54">
        <v>398.47500000000002</v>
      </c>
      <c r="C54">
        <v>60.95</v>
      </c>
      <c r="D54">
        <v>40.4</v>
      </c>
      <c r="E54" s="108">
        <v>99.12</v>
      </c>
      <c r="F54" s="108">
        <v>109.61</v>
      </c>
      <c r="G54">
        <v>110.25</v>
      </c>
      <c r="H54" s="108">
        <v>83.04</v>
      </c>
      <c r="I54" s="108">
        <v>183.22</v>
      </c>
      <c r="J54" s="108">
        <v>23.74</v>
      </c>
      <c r="K54" s="108">
        <v>28441.599999999999</v>
      </c>
      <c r="M54" s="4">
        <f t="shared" si="3"/>
        <v>3.7082245651659171E-2</v>
      </c>
      <c r="N54" s="4">
        <f t="shared" si="4"/>
        <v>2.0938023450586263E-2</v>
      </c>
      <c r="O54" s="4">
        <f t="shared" si="5"/>
        <v>2.4860476915271355E-2</v>
      </c>
      <c r="P54" s="4">
        <f t="shared" si="6"/>
        <v>3.5087719298245605E-2</v>
      </c>
      <c r="Q54" s="4">
        <f t="shared" si="7"/>
        <v>3.4837613293051337E-2</v>
      </c>
      <c r="R54" s="4">
        <f t="shared" si="8"/>
        <v>2.8643403620078306E-2</v>
      </c>
      <c r="S54" s="4">
        <f t="shared" si="9"/>
        <v>-3.1264582361175838E-2</v>
      </c>
      <c r="T54" s="4">
        <f t="shared" si="10"/>
        <v>7.9161267522676396E-2</v>
      </c>
      <c r="U54" s="4">
        <f t="shared" si="11"/>
        <v>-8.4175084175097323E-4</v>
      </c>
      <c r="V54" s="4">
        <f t="shared" si="12"/>
        <v>0.22810668900509076</v>
      </c>
      <c r="AL54" s="49">
        <v>44316</v>
      </c>
      <c r="AM54">
        <v>0</v>
      </c>
      <c r="AN54" s="60"/>
    </row>
    <row r="55" spans="1:40">
      <c r="A55" s="49">
        <v>45046</v>
      </c>
      <c r="B55">
        <v>404.84100000000001</v>
      </c>
      <c r="C55">
        <v>63.47</v>
      </c>
      <c r="D55">
        <v>40.24</v>
      </c>
      <c r="E55" s="108">
        <v>99.73</v>
      </c>
      <c r="F55" s="108">
        <v>109.93</v>
      </c>
      <c r="G55">
        <v>110.18</v>
      </c>
      <c r="H55" s="108">
        <v>83.3</v>
      </c>
      <c r="I55" s="108">
        <v>184.8</v>
      </c>
      <c r="J55" s="108">
        <v>23.56</v>
      </c>
      <c r="K55" s="108">
        <v>29351.3</v>
      </c>
      <c r="M55" s="4">
        <f t="shared" si="3"/>
        <v>1.5975908149821156E-2</v>
      </c>
      <c r="N55" s="4">
        <f t="shared" si="4"/>
        <v>4.1345365053322328E-2</v>
      </c>
      <c r="O55" s="4">
        <f t="shared" si="5"/>
        <v>-3.9603960396038763E-3</v>
      </c>
      <c r="P55" s="4">
        <f t="shared" si="6"/>
        <v>6.1541565778853854E-3</v>
      </c>
      <c r="Q55" s="4">
        <f t="shared" si="7"/>
        <v>2.9194416567832077E-3</v>
      </c>
      <c r="R55" s="4">
        <f t="shared" si="8"/>
        <v>-6.3492063492057301E-4</v>
      </c>
      <c r="S55" s="4">
        <f t="shared" si="9"/>
        <v>3.1310211946048998E-3</v>
      </c>
      <c r="T55" s="4">
        <f t="shared" si="10"/>
        <v>8.6235127169523654E-3</v>
      </c>
      <c r="U55" s="4">
        <f t="shared" si="11"/>
        <v>-7.5821398483571917E-3</v>
      </c>
      <c r="V55" s="4">
        <f t="shared" si="12"/>
        <v>3.1984839108910916E-2</v>
      </c>
      <c r="AL55" s="49">
        <v>44347</v>
      </c>
      <c r="AM55">
        <v>0</v>
      </c>
      <c r="AN55" s="60"/>
    </row>
    <row r="56" spans="1:40">
      <c r="A56" s="49">
        <v>45077</v>
      </c>
      <c r="B56">
        <v>406.709</v>
      </c>
      <c r="C56">
        <v>60.22</v>
      </c>
      <c r="D56">
        <v>39.049999999999997</v>
      </c>
      <c r="E56" s="108">
        <v>98.06</v>
      </c>
      <c r="F56" s="108">
        <v>107.62</v>
      </c>
      <c r="G56">
        <v>108.3</v>
      </c>
      <c r="H56" s="108">
        <v>80</v>
      </c>
      <c r="I56" s="108">
        <v>182.32</v>
      </c>
      <c r="J56" s="108">
        <v>22.05</v>
      </c>
      <c r="K56" s="108">
        <v>27095.1</v>
      </c>
      <c r="M56" s="4">
        <f t="shared" si="3"/>
        <v>4.6141571629355598E-3</v>
      </c>
      <c r="N56" s="4">
        <f t="shared" si="4"/>
        <v>-5.1205293839609263E-2</v>
      </c>
      <c r="O56" s="4">
        <f t="shared" si="5"/>
        <v>-2.9572564612326161E-2</v>
      </c>
      <c r="P56" s="4">
        <f t="shared" si="6"/>
        <v>-1.6745212072596025E-2</v>
      </c>
      <c r="Q56" s="4">
        <f t="shared" si="7"/>
        <v>-2.1013372145911053E-2</v>
      </c>
      <c r="R56" s="4">
        <f t="shared" si="8"/>
        <v>-1.7062987838083223E-2</v>
      </c>
      <c r="S56" s="4">
        <f t="shared" si="9"/>
        <v>-3.9615846338535383E-2</v>
      </c>
      <c r="T56" s="4">
        <f t="shared" si="10"/>
        <v>-1.3419913419913517E-2</v>
      </c>
      <c r="U56" s="4">
        <f t="shared" si="11"/>
        <v>-6.4091680814940502E-2</v>
      </c>
      <c r="V56" s="4">
        <f t="shared" si="12"/>
        <v>-7.6868826934411785E-2</v>
      </c>
      <c r="AL56" s="49">
        <v>44377</v>
      </c>
      <c r="AM56">
        <v>0</v>
      </c>
      <c r="AN56" s="60"/>
    </row>
    <row r="57" spans="1:40">
      <c r="A57" s="49">
        <v>45107</v>
      </c>
      <c r="B57">
        <v>433.065</v>
      </c>
      <c r="C57">
        <v>61.7</v>
      </c>
      <c r="D57">
        <v>40.68</v>
      </c>
      <c r="E57" s="108">
        <v>96.6</v>
      </c>
      <c r="F57" s="108">
        <v>108.14</v>
      </c>
      <c r="G57">
        <v>107.62</v>
      </c>
      <c r="H57" s="108">
        <v>83.56</v>
      </c>
      <c r="I57" s="108">
        <v>178.27</v>
      </c>
      <c r="J57" s="108">
        <v>22.7</v>
      </c>
      <c r="K57" s="108">
        <v>30377.200000000001</v>
      </c>
      <c r="M57" s="4">
        <f t="shared" si="3"/>
        <v>6.4803090170121619E-2</v>
      </c>
      <c r="N57" s="4">
        <f t="shared" si="4"/>
        <v>2.4576552640318897E-2</v>
      </c>
      <c r="O57" s="4">
        <f t="shared" si="5"/>
        <v>4.1741357234315046E-2</v>
      </c>
      <c r="P57" s="4">
        <f t="shared" si="6"/>
        <v>-1.4888843565164267E-2</v>
      </c>
      <c r="Q57" s="4">
        <f t="shared" si="7"/>
        <v>4.831815647649099E-3</v>
      </c>
      <c r="R57" s="4">
        <f t="shared" si="8"/>
        <v>-6.2788550323175677E-3</v>
      </c>
      <c r="S57" s="4">
        <f t="shared" si="9"/>
        <v>4.4500000000000026E-2</v>
      </c>
      <c r="T57" s="4">
        <f t="shared" si="10"/>
        <v>-2.221369021500649E-2</v>
      </c>
      <c r="U57" s="4">
        <f t="shared" si="11"/>
        <v>2.9478458049886556E-2</v>
      </c>
      <c r="V57" s="4">
        <f t="shared" si="12"/>
        <v>0.12113260331203805</v>
      </c>
      <c r="AL57" s="49">
        <v>44408</v>
      </c>
      <c r="AM57">
        <v>0</v>
      </c>
      <c r="AN57" s="60"/>
    </row>
    <row r="58" spans="1:40">
      <c r="A58" s="49">
        <v>45138</v>
      </c>
      <c r="B58">
        <v>447.24099999999999</v>
      </c>
      <c r="C58">
        <v>63.49</v>
      </c>
      <c r="D58">
        <v>43.07</v>
      </c>
      <c r="E58" s="108">
        <v>95.74</v>
      </c>
      <c r="F58" s="108">
        <v>107.85</v>
      </c>
      <c r="G58">
        <v>107.16</v>
      </c>
      <c r="H58" s="108">
        <v>85.26</v>
      </c>
      <c r="I58" s="108">
        <v>182.35</v>
      </c>
      <c r="J58" s="108">
        <v>24.68</v>
      </c>
      <c r="K58" s="108">
        <v>29238.3</v>
      </c>
      <c r="M58" s="4">
        <f t="shared" si="3"/>
        <v>3.2734116125754768E-2</v>
      </c>
      <c r="N58" s="4">
        <f t="shared" si="4"/>
        <v>2.9011345218800635E-2</v>
      </c>
      <c r="O58" s="4">
        <f t="shared" si="5"/>
        <v>5.8751229105211418E-2</v>
      </c>
      <c r="P58" s="4">
        <f t="shared" si="6"/>
        <v>-8.9026915113871573E-3</v>
      </c>
      <c r="Q58" s="4">
        <f t="shared" si="7"/>
        <v>-2.6817088958757743E-3</v>
      </c>
      <c r="R58" s="4">
        <f t="shared" si="8"/>
        <v>-4.2742984575358479E-3</v>
      </c>
      <c r="S58" s="4">
        <f t="shared" si="9"/>
        <v>2.0344662517951206E-2</v>
      </c>
      <c r="T58" s="4">
        <f t="shared" si="10"/>
        <v>2.288663263588929E-2</v>
      </c>
      <c r="U58" s="4">
        <f t="shared" si="11"/>
        <v>8.7224669603524249E-2</v>
      </c>
      <c r="V58" s="4">
        <f t="shared" si="12"/>
        <v>-3.7491934740529129E-2</v>
      </c>
      <c r="AL58" s="49">
        <v>44439</v>
      </c>
      <c r="AM58">
        <v>0</v>
      </c>
      <c r="AN58" s="60"/>
    </row>
    <row r="59" spans="1:40">
      <c r="A59" s="49">
        <v>45169</v>
      </c>
      <c r="B59">
        <v>439.97199999999998</v>
      </c>
      <c r="C59">
        <v>60.92</v>
      </c>
      <c r="D59">
        <v>40.53</v>
      </c>
      <c r="E59" s="108">
        <v>94.8</v>
      </c>
      <c r="F59" s="108">
        <v>106.16</v>
      </c>
      <c r="G59">
        <v>106.07</v>
      </c>
      <c r="H59" s="108">
        <v>82.38</v>
      </c>
      <c r="I59" s="108">
        <v>180.02</v>
      </c>
      <c r="J59" s="108">
        <v>24.59</v>
      </c>
      <c r="K59" s="108">
        <v>25988.799999999999</v>
      </c>
      <c r="M59" s="4">
        <f t="shared" si="3"/>
        <v>-1.6252982172922443E-2</v>
      </c>
      <c r="N59" s="4">
        <f t="shared" si="4"/>
        <v>-4.0478815561505753E-2</v>
      </c>
      <c r="O59" s="4">
        <f t="shared" si="5"/>
        <v>-5.8973763640585077E-2</v>
      </c>
      <c r="P59" s="4">
        <f t="shared" si="6"/>
        <v>-9.818257781491516E-3</v>
      </c>
      <c r="Q59" s="4">
        <f t="shared" si="7"/>
        <v>-1.5669911914696317E-2</v>
      </c>
      <c r="R59" s="4">
        <f t="shared" si="8"/>
        <v>-1.0171705860395702E-2</v>
      </c>
      <c r="S59" s="4">
        <f t="shared" si="9"/>
        <v>-3.3779028852920591E-2</v>
      </c>
      <c r="T59" s="4">
        <f t="shared" si="10"/>
        <v>-1.2777625445571615E-2</v>
      </c>
      <c r="U59" s="4">
        <f t="shared" si="11"/>
        <v>-3.6466774716369475E-3</v>
      </c>
      <c r="V59" s="4">
        <f t="shared" si="12"/>
        <v>-0.1111384724830103</v>
      </c>
      <c r="AL59" s="49">
        <v>44469</v>
      </c>
      <c r="AM59">
        <v>0</v>
      </c>
      <c r="AN59" s="60"/>
    </row>
    <row r="60" spans="1:40">
      <c r="A60" s="49">
        <v>45199</v>
      </c>
      <c r="B60">
        <v>419.10300000000001</v>
      </c>
      <c r="C60">
        <v>57.93</v>
      </c>
      <c r="D60">
        <v>39.21</v>
      </c>
      <c r="E60" s="108">
        <v>91.59</v>
      </c>
      <c r="F60" s="108">
        <v>102.02</v>
      </c>
      <c r="G60">
        <v>103.72</v>
      </c>
      <c r="H60" s="108">
        <v>75.66</v>
      </c>
      <c r="I60" s="108">
        <v>171.45</v>
      </c>
      <c r="J60" s="108">
        <v>24.96</v>
      </c>
      <c r="K60" s="108">
        <v>26918.5</v>
      </c>
      <c r="M60" s="4">
        <f t="shared" si="3"/>
        <v>-4.7432563890429331E-2</v>
      </c>
      <c r="N60" s="4">
        <f t="shared" si="4"/>
        <v>-4.9080761654629053E-2</v>
      </c>
      <c r="O60" s="4">
        <f t="shared" si="5"/>
        <v>-3.2568467801628427E-2</v>
      </c>
      <c r="P60" s="4">
        <f t="shared" si="6"/>
        <v>-3.3860759493670824E-2</v>
      </c>
      <c r="Q60" s="4">
        <f t="shared" si="7"/>
        <v>-3.8997739261492095E-2</v>
      </c>
      <c r="R60" s="4">
        <f t="shared" si="8"/>
        <v>-2.2155180541152016E-2</v>
      </c>
      <c r="S60" s="4">
        <f t="shared" si="9"/>
        <v>-8.1573197378004364E-2</v>
      </c>
      <c r="T60" s="4">
        <f t="shared" si="10"/>
        <v>-4.7605821575380632E-2</v>
      </c>
      <c r="U60" s="4">
        <f t="shared" si="11"/>
        <v>1.5046766978446563E-2</v>
      </c>
      <c r="V60" s="4">
        <f t="shared" si="12"/>
        <v>3.5773102259434864E-2</v>
      </c>
      <c r="AL60" s="49">
        <v>44500</v>
      </c>
      <c r="AM60">
        <v>0</v>
      </c>
      <c r="AN60" s="60"/>
    </row>
    <row r="61" spans="1:40">
      <c r="A61" s="49">
        <v>45230</v>
      </c>
      <c r="B61">
        <v>410.00400000000002</v>
      </c>
      <c r="C61">
        <v>56.14</v>
      </c>
      <c r="D61">
        <v>37.94</v>
      </c>
      <c r="E61" s="108">
        <v>89.59</v>
      </c>
      <c r="F61" s="108">
        <v>99.17</v>
      </c>
      <c r="G61">
        <v>102.8</v>
      </c>
      <c r="H61" s="108">
        <v>72.92</v>
      </c>
      <c r="I61" s="108">
        <v>184.09</v>
      </c>
      <c r="J61" s="108">
        <v>24.51</v>
      </c>
      <c r="K61" s="108">
        <v>34588.5</v>
      </c>
      <c r="M61" s="4">
        <f t="shared" si="3"/>
        <v>-2.1710653467047456E-2</v>
      </c>
      <c r="N61" s="4">
        <f t="shared" si="4"/>
        <v>-3.0899361298118405E-2</v>
      </c>
      <c r="O61" s="4">
        <f t="shared" si="5"/>
        <v>-3.2389696505993451E-2</v>
      </c>
      <c r="P61" s="4">
        <f t="shared" si="6"/>
        <v>-2.1836445026749644E-2</v>
      </c>
      <c r="Q61" s="4">
        <f t="shared" si="7"/>
        <v>-2.793569888257199E-2</v>
      </c>
      <c r="R61" s="4">
        <f t="shared" si="8"/>
        <v>-8.8700347088314854E-3</v>
      </c>
      <c r="S61" s="4">
        <f t="shared" si="9"/>
        <v>-3.6214644462067076E-2</v>
      </c>
      <c r="T61" s="4">
        <f t="shared" si="10"/>
        <v>7.3724117818606105E-2</v>
      </c>
      <c r="U61" s="4">
        <f t="shared" si="11"/>
        <v>-1.8028846153846124E-2</v>
      </c>
      <c r="V61" s="4">
        <f t="shared" si="12"/>
        <v>0.28493415309173986</v>
      </c>
      <c r="AL61" s="49">
        <v>44530</v>
      </c>
      <c r="AM61">
        <v>0</v>
      </c>
      <c r="AN61" s="60"/>
    </row>
    <row r="62" spans="1:40">
      <c r="A62" s="49">
        <v>45260</v>
      </c>
      <c r="B62">
        <v>447.45499999999998</v>
      </c>
      <c r="C62">
        <v>61.62</v>
      </c>
      <c r="D62">
        <v>40.630000000000003</v>
      </c>
      <c r="E62" s="108">
        <v>93.41</v>
      </c>
      <c r="F62" s="108">
        <v>106.29</v>
      </c>
      <c r="G62">
        <v>105.19</v>
      </c>
      <c r="H62" s="108">
        <v>81.73</v>
      </c>
      <c r="I62" s="108">
        <v>188.75</v>
      </c>
      <c r="J62" s="108">
        <v>23.91</v>
      </c>
      <c r="K62" s="108">
        <v>37744.5</v>
      </c>
      <c r="M62" s="4">
        <f t="shared" si="3"/>
        <v>9.1343011287694661E-2</v>
      </c>
      <c r="N62" s="4">
        <f t="shared" si="4"/>
        <v>9.7613110081937959E-2</v>
      </c>
      <c r="O62" s="4">
        <f t="shared" si="5"/>
        <v>7.0901423299947419E-2</v>
      </c>
      <c r="P62" s="4">
        <f t="shared" si="6"/>
        <v>4.2638687353499197E-2</v>
      </c>
      <c r="Q62" s="4">
        <f t="shared" si="7"/>
        <v>7.1795906019965758E-2</v>
      </c>
      <c r="R62" s="4">
        <f t="shared" si="8"/>
        <v>2.3249027237354093E-2</v>
      </c>
      <c r="S62" s="4">
        <f t="shared" si="9"/>
        <v>0.1208173340647285</v>
      </c>
      <c r="T62" s="4">
        <f t="shared" si="10"/>
        <v>2.5313705252865429E-2</v>
      </c>
      <c r="U62" s="4">
        <f t="shared" si="11"/>
        <v>-2.4479804161566764E-2</v>
      </c>
      <c r="V62" s="4">
        <f t="shared" si="12"/>
        <v>9.1244199661737288E-2</v>
      </c>
      <c r="AL62" s="49">
        <v>44561</v>
      </c>
      <c r="AM62">
        <v>0.01</v>
      </c>
      <c r="AN62" s="60"/>
    </row>
    <row r="63" spans="1:40">
      <c r="A63" s="49">
        <v>45291</v>
      </c>
      <c r="B63">
        <v>467.88400000000001</v>
      </c>
      <c r="C63">
        <v>64.48</v>
      </c>
      <c r="D63">
        <v>41.1</v>
      </c>
      <c r="E63" s="108">
        <v>96.39</v>
      </c>
      <c r="F63" s="108">
        <v>110.66</v>
      </c>
      <c r="G63">
        <v>107.49</v>
      </c>
      <c r="H63" s="108">
        <v>88.36</v>
      </c>
      <c r="I63" s="108">
        <v>191.17</v>
      </c>
      <c r="J63" s="108">
        <v>22.04</v>
      </c>
      <c r="K63" s="108">
        <v>42025.1</v>
      </c>
      <c r="M63" s="4">
        <f t="shared" si="3"/>
        <v>4.5655987752958468E-2</v>
      </c>
      <c r="N63" s="4">
        <f t="shared" si="4"/>
        <v>4.6413502109704748E-2</v>
      </c>
      <c r="O63" s="4">
        <f t="shared" si="5"/>
        <v>1.1567807039133616E-2</v>
      </c>
      <c r="P63" s="4">
        <f t="shared" si="6"/>
        <v>3.190236591371378E-2</v>
      </c>
      <c r="Q63" s="4">
        <f t="shared" si="7"/>
        <v>4.1113933577947036E-2</v>
      </c>
      <c r="R63" s="4">
        <f t="shared" si="8"/>
        <v>2.1865196311436422E-2</v>
      </c>
      <c r="S63" s="4">
        <f t="shared" si="9"/>
        <v>8.1120763489538672E-2</v>
      </c>
      <c r="T63" s="4">
        <f t="shared" si="10"/>
        <v>1.2821192052980067E-2</v>
      </c>
      <c r="U63" s="4">
        <f t="shared" si="11"/>
        <v>-7.8209953994144751E-2</v>
      </c>
      <c r="V63" s="4">
        <f t="shared" si="12"/>
        <v>0.11340990078024608</v>
      </c>
      <c r="AL63" s="49">
        <v>44592</v>
      </c>
      <c r="AM63">
        <v>0</v>
      </c>
      <c r="AN63" s="60"/>
    </row>
    <row r="64" spans="1:40">
      <c r="A64" s="49">
        <v>45322</v>
      </c>
      <c r="B64">
        <v>475.33499999999998</v>
      </c>
      <c r="C64">
        <v>63.69</v>
      </c>
      <c r="D64">
        <v>39.64</v>
      </c>
      <c r="E64" s="108">
        <v>96.46</v>
      </c>
      <c r="F64" s="108">
        <v>110.17</v>
      </c>
      <c r="G64">
        <v>107.85</v>
      </c>
      <c r="H64" s="108">
        <v>83.89</v>
      </c>
      <c r="I64" s="108">
        <v>188.45</v>
      </c>
      <c r="J64" s="108">
        <v>22.33</v>
      </c>
      <c r="K64" s="108">
        <v>42620.4</v>
      </c>
      <c r="M64" s="4">
        <f t="shared" si="3"/>
        <v>1.5924887365244302E-2</v>
      </c>
      <c r="N64" s="4">
        <f t="shared" si="4"/>
        <v>-1.2251861042183719E-2</v>
      </c>
      <c r="O64" s="4">
        <f t="shared" si="5"/>
        <v>-3.5523114355231165E-2</v>
      </c>
      <c r="P64" s="4">
        <f t="shared" si="6"/>
        <v>7.2621641249085149E-4</v>
      </c>
      <c r="Q64" s="4">
        <f t="shared" si="7"/>
        <v>-4.4279775890113402E-3</v>
      </c>
      <c r="R64" s="4">
        <f t="shared" si="8"/>
        <v>3.349148758023997E-3</v>
      </c>
      <c r="S64" s="4">
        <f t="shared" si="9"/>
        <v>-5.0588501584427327E-2</v>
      </c>
      <c r="T64" s="4">
        <f t="shared" si="10"/>
        <v>-1.4228173876654282E-2</v>
      </c>
      <c r="U64" s="4">
        <f t="shared" si="11"/>
        <v>1.3157894736842066E-2</v>
      </c>
      <c r="V64" s="4">
        <f t="shared" si="12"/>
        <v>1.4165344044392588E-2</v>
      </c>
      <c r="AL64" s="49">
        <v>44620</v>
      </c>
      <c r="AM64">
        <v>0</v>
      </c>
      <c r="AN64" s="60"/>
    </row>
    <row r="65" spans="1:40">
      <c r="A65" s="49">
        <v>45351</v>
      </c>
      <c r="B65">
        <v>500.142</v>
      </c>
      <c r="C65">
        <v>65.22</v>
      </c>
      <c r="D65">
        <v>41.02</v>
      </c>
      <c r="E65" s="108">
        <v>94.22</v>
      </c>
      <c r="F65" s="108">
        <v>107.66</v>
      </c>
      <c r="G65">
        <v>106.72</v>
      </c>
      <c r="H65" s="108">
        <v>85.55</v>
      </c>
      <c r="I65" s="108">
        <v>189.31</v>
      </c>
      <c r="J65" s="108">
        <v>21.99</v>
      </c>
      <c r="K65" s="108">
        <v>61247.4</v>
      </c>
      <c r="M65" s="4">
        <f t="shared" si="3"/>
        <v>5.2188456562214054E-2</v>
      </c>
      <c r="N65" s="4">
        <f t="shared" si="4"/>
        <v>2.4022609514837513E-2</v>
      </c>
      <c r="O65" s="4">
        <f t="shared" si="5"/>
        <v>3.4813319878910252E-2</v>
      </c>
      <c r="P65" s="4">
        <f t="shared" si="6"/>
        <v>-2.3222060957909962E-2</v>
      </c>
      <c r="Q65" s="4">
        <f t="shared" si="7"/>
        <v>-2.2782971770899565E-2</v>
      </c>
      <c r="R65" s="4">
        <f t="shared" si="8"/>
        <v>-1.0477515067222953E-2</v>
      </c>
      <c r="S65" s="4">
        <f t="shared" si="9"/>
        <v>1.9787817379902213E-2</v>
      </c>
      <c r="T65" s="4">
        <f t="shared" si="10"/>
        <v>4.5635447068188579E-3</v>
      </c>
      <c r="U65" s="4">
        <f t="shared" si="11"/>
        <v>-1.5226153157187635E-2</v>
      </c>
      <c r="V65" s="4">
        <f t="shared" si="12"/>
        <v>0.43704423233944306</v>
      </c>
      <c r="AL65" s="49">
        <v>44651</v>
      </c>
      <c r="AM65">
        <v>0</v>
      </c>
      <c r="AN65" s="60"/>
    </row>
    <row r="66" spans="1:40">
      <c r="A66" s="49">
        <v>45382</v>
      </c>
      <c r="B66">
        <v>516.49800000000005</v>
      </c>
      <c r="C66">
        <v>67.34</v>
      </c>
      <c r="D66">
        <v>41.77</v>
      </c>
      <c r="E66" s="108">
        <v>94.66</v>
      </c>
      <c r="F66" s="108">
        <v>108.92</v>
      </c>
      <c r="G66">
        <v>107.41</v>
      </c>
      <c r="H66" s="108">
        <v>86.48</v>
      </c>
      <c r="I66" s="108">
        <v>205.72</v>
      </c>
      <c r="J66" s="108">
        <v>22.97</v>
      </c>
      <c r="K66" s="108">
        <v>69655.3</v>
      </c>
      <c r="M66" s="4">
        <f t="shared" si="3"/>
        <v>3.2702712429670079E-2</v>
      </c>
      <c r="N66" s="4">
        <f t="shared" si="4"/>
        <v>3.2505366452008654E-2</v>
      </c>
      <c r="O66" s="4">
        <f t="shared" si="5"/>
        <v>1.8283764017552412E-2</v>
      </c>
      <c r="P66" s="4">
        <f t="shared" si="6"/>
        <v>4.6699214604117778E-3</v>
      </c>
      <c r="Q66" s="4">
        <f t="shared" si="7"/>
        <v>1.1703511053316042E-2</v>
      </c>
      <c r="R66" s="4">
        <f t="shared" si="8"/>
        <v>6.4655172413792894E-3</v>
      </c>
      <c r="S66" s="4">
        <f t="shared" si="9"/>
        <v>1.0870835768556479E-2</v>
      </c>
      <c r="T66" s="4">
        <f t="shared" si="10"/>
        <v>8.6683218002218565E-2</v>
      </c>
      <c r="U66" s="4">
        <f t="shared" si="11"/>
        <v>4.4565711687130534E-2</v>
      </c>
      <c r="V66" s="4">
        <f t="shared" si="12"/>
        <v>0.13727766403145278</v>
      </c>
      <c r="AL66" s="49">
        <v>44681</v>
      </c>
      <c r="AM66">
        <v>0</v>
      </c>
      <c r="AN66" s="60"/>
    </row>
    <row r="67" spans="1:40">
      <c r="A67" s="49">
        <v>45412</v>
      </c>
      <c r="B67">
        <v>495.67200000000003</v>
      </c>
      <c r="C67">
        <v>65.62</v>
      </c>
      <c r="D67">
        <v>42.17</v>
      </c>
      <c r="E67" s="108">
        <v>91.43</v>
      </c>
      <c r="F67" s="108">
        <v>104.99</v>
      </c>
      <c r="G67">
        <v>105.53</v>
      </c>
      <c r="H67" s="108">
        <v>79.61</v>
      </c>
      <c r="I67" s="108">
        <v>211.87</v>
      </c>
      <c r="J67" s="108">
        <v>23.34</v>
      </c>
      <c r="K67" s="108">
        <v>60184.4</v>
      </c>
      <c r="M67" s="4">
        <f t="shared" si="3"/>
        <v>-4.0321550131849536E-2</v>
      </c>
      <c r="N67" s="4">
        <f t="shared" si="4"/>
        <v>-2.5542025542025525E-2</v>
      </c>
      <c r="O67" s="4">
        <f t="shared" si="5"/>
        <v>9.5762508977734872E-3</v>
      </c>
      <c r="P67" s="4">
        <f t="shared" si="6"/>
        <v>-3.4122121276146097E-2</v>
      </c>
      <c r="Q67" s="4">
        <f t="shared" si="7"/>
        <v>-3.6081527726772006E-2</v>
      </c>
      <c r="R67" s="4">
        <f t="shared" si="8"/>
        <v>-1.7503025789032636E-2</v>
      </c>
      <c r="S67" s="4">
        <f t="shared" si="9"/>
        <v>-7.9440333024976925E-2</v>
      </c>
      <c r="T67" s="4">
        <f t="shared" si="10"/>
        <v>2.9895002916585679E-2</v>
      </c>
      <c r="U67" s="4">
        <f t="shared" si="11"/>
        <v>1.6107966913365305E-2</v>
      </c>
      <c r="V67" s="4">
        <f t="shared" si="12"/>
        <v>-0.13596811728612182</v>
      </c>
      <c r="AL67" s="49">
        <v>44712</v>
      </c>
      <c r="AM67">
        <v>0.03</v>
      </c>
      <c r="AN67" s="60"/>
    </row>
    <row r="68" spans="1:40">
      <c r="A68" s="49">
        <v>45443</v>
      </c>
      <c r="B68">
        <v>520.74300000000005</v>
      </c>
      <c r="C68">
        <v>67.33</v>
      </c>
      <c r="D68">
        <v>43.55</v>
      </c>
      <c r="E68" s="108">
        <v>92.8</v>
      </c>
      <c r="F68" s="108">
        <v>106.7</v>
      </c>
      <c r="G68">
        <v>105.98</v>
      </c>
      <c r="H68" s="108">
        <v>81.37</v>
      </c>
      <c r="I68" s="108">
        <v>212.96</v>
      </c>
      <c r="J68" s="108">
        <v>23.11</v>
      </c>
      <c r="K68" s="108">
        <v>67658.899999999994</v>
      </c>
      <c r="M68" s="4">
        <f t="shared" si="3"/>
        <v>5.0579818912506708E-2</v>
      </c>
      <c r="N68" s="4">
        <f t="shared" si="4"/>
        <v>2.6059128314538153E-2</v>
      </c>
      <c r="O68" s="4">
        <f t="shared" si="5"/>
        <v>3.2724685795589174E-2</v>
      </c>
      <c r="P68" s="4">
        <f t="shared" si="6"/>
        <v>1.4984140872798755E-2</v>
      </c>
      <c r="Q68" s="4">
        <f t="shared" si="7"/>
        <v>1.6287265453852826E-2</v>
      </c>
      <c r="R68" s="4">
        <f t="shared" si="8"/>
        <v>4.2641902776461935E-3</v>
      </c>
      <c r="S68" s="4">
        <f t="shared" si="9"/>
        <v>2.2107775405099925E-2</v>
      </c>
      <c r="T68" s="4">
        <f t="shared" si="10"/>
        <v>5.1446641808656412E-3</v>
      </c>
      <c r="U68" s="4">
        <f t="shared" si="11"/>
        <v>-9.8543273350471475E-3</v>
      </c>
      <c r="V68" s="4">
        <f t="shared" si="12"/>
        <v>0.12419331255275441</v>
      </c>
      <c r="AL68" s="49">
        <v>44742</v>
      </c>
      <c r="AM68">
        <v>0.06</v>
      </c>
      <c r="AN68" s="60"/>
    </row>
    <row r="69" spans="1:40">
      <c r="A69" s="49">
        <v>45473</v>
      </c>
      <c r="B69">
        <v>539.11500000000001</v>
      </c>
      <c r="C69">
        <v>66.77</v>
      </c>
      <c r="D69">
        <v>43.76</v>
      </c>
      <c r="E69" s="108">
        <v>93.65</v>
      </c>
      <c r="F69" s="108">
        <v>107.12</v>
      </c>
      <c r="G69">
        <v>106.78</v>
      </c>
      <c r="H69" s="108">
        <v>83.76</v>
      </c>
      <c r="I69" s="108">
        <v>215.01</v>
      </c>
      <c r="J69" s="108">
        <v>23.23</v>
      </c>
      <c r="K69" s="108">
        <v>60064</v>
      </c>
      <c r="M69" s="4">
        <f t="shared" si="3"/>
        <v>3.5280359025469291E-2</v>
      </c>
      <c r="N69" s="4">
        <f t="shared" si="4"/>
        <v>-8.3172434278925046E-3</v>
      </c>
      <c r="O69" s="4">
        <f t="shared" si="5"/>
        <v>4.822043628013797E-3</v>
      </c>
      <c r="P69" s="4">
        <f t="shared" si="6"/>
        <v>9.1594827586207826E-3</v>
      </c>
      <c r="Q69" s="4">
        <f t="shared" si="7"/>
        <v>3.9362699156513751E-3</v>
      </c>
      <c r="R69" s="4">
        <f t="shared" si="8"/>
        <v>7.5485940743536244E-3</v>
      </c>
      <c r="S69" s="4">
        <f t="shared" si="9"/>
        <v>2.9372004424234981E-2</v>
      </c>
      <c r="T69" s="4">
        <f t="shared" si="10"/>
        <v>9.626220886551384E-3</v>
      </c>
      <c r="U69" s="4">
        <f t="shared" si="11"/>
        <v>5.1925573344872777E-3</v>
      </c>
      <c r="V69" s="4">
        <f t="shared" si="12"/>
        <v>-0.11225278566456143</v>
      </c>
      <c r="AL69" s="49">
        <v>44773</v>
      </c>
      <c r="AM69">
        <v>0.08</v>
      </c>
      <c r="AN69" s="60"/>
    </row>
    <row r="70" spans="1:40">
      <c r="A70" s="49">
        <v>45504</v>
      </c>
      <c r="B70">
        <v>545.64300000000003</v>
      </c>
      <c r="C70">
        <v>68.459999999999994</v>
      </c>
      <c r="D70">
        <v>44.29</v>
      </c>
      <c r="E70" s="108">
        <v>96.07</v>
      </c>
      <c r="F70" s="108">
        <v>109.56</v>
      </c>
      <c r="G70">
        <v>108.18</v>
      </c>
      <c r="H70" s="108">
        <v>90.41</v>
      </c>
      <c r="I70" s="108">
        <v>226.55</v>
      </c>
      <c r="J70" s="108">
        <v>22.58</v>
      </c>
      <c r="K70" s="108">
        <v>64927</v>
      </c>
      <c r="M70" s="4">
        <f t="shared" ref="M70:M87" si="31">(B70-B69)/B69</f>
        <v>1.2108733758103596E-2</v>
      </c>
      <c r="N70" s="4">
        <f t="shared" ref="N70:N87" si="32">(C70-C69)/C69</f>
        <v>2.531076830912083E-2</v>
      </c>
      <c r="O70" s="4">
        <f t="shared" ref="O70:O87" si="33">(D70-D69)/D69</f>
        <v>1.2111517367458894E-2</v>
      </c>
      <c r="P70" s="4">
        <f t="shared" ref="P70:P87" si="34">(E70-E69)/E69</f>
        <v>2.5840896956753737E-2</v>
      </c>
      <c r="Q70" s="4">
        <f t="shared" ref="Q70:Q87" si="35">(F70-F69)/F69</f>
        <v>2.2778192681105279E-2</v>
      </c>
      <c r="R70" s="4">
        <f t="shared" ref="R70:R87" si="36">(G70-G69)/G69</f>
        <v>1.3111069488668343E-2</v>
      </c>
      <c r="S70" s="4">
        <f t="shared" ref="S70:S87" si="37">(H70-H69)/H69</f>
        <v>7.9393505253103999E-2</v>
      </c>
      <c r="T70" s="4">
        <f t="shared" ref="T70:T87" si="38">(I70-I69)/I69</f>
        <v>5.367192223617516E-2</v>
      </c>
      <c r="U70" s="4">
        <f t="shared" ref="U70:U87" si="39">(J70-J69)/J69</f>
        <v>-2.7981058975462856E-2</v>
      </c>
      <c r="V70" s="4">
        <f t="shared" ref="V70:V87" si="40">(K70-K69)/K69</f>
        <v>8.096363878529568E-2</v>
      </c>
      <c r="AL70" s="49">
        <v>44804</v>
      </c>
      <c r="AM70">
        <v>0.19</v>
      </c>
      <c r="AN70" s="60"/>
    </row>
    <row r="71" spans="1:40">
      <c r="A71" s="49">
        <v>45535</v>
      </c>
      <c r="B71">
        <v>558.39300000000003</v>
      </c>
      <c r="C71">
        <v>70.930000000000007</v>
      </c>
      <c r="D71">
        <v>44.72</v>
      </c>
      <c r="E71" s="108">
        <v>97.07</v>
      </c>
      <c r="F71" s="108">
        <v>111.21</v>
      </c>
      <c r="G71">
        <v>108.87</v>
      </c>
      <c r="H71" s="108">
        <v>95.13</v>
      </c>
      <c r="I71" s="108">
        <v>231.29</v>
      </c>
      <c r="J71" s="108">
        <v>22.11</v>
      </c>
      <c r="K71" s="108">
        <v>58776.800000000003</v>
      </c>
      <c r="M71" s="4">
        <f t="shared" si="31"/>
        <v>2.3366926726815885E-2</v>
      </c>
      <c r="N71" s="4">
        <f t="shared" si="32"/>
        <v>3.607946245983075E-2</v>
      </c>
      <c r="O71" s="4">
        <f t="shared" si="33"/>
        <v>9.7087378640776639E-3</v>
      </c>
      <c r="P71" s="4">
        <f t="shared" si="34"/>
        <v>1.0409076714895389E-2</v>
      </c>
      <c r="Q71" s="4">
        <f t="shared" si="35"/>
        <v>1.5060240963855344E-2</v>
      </c>
      <c r="R71" s="4">
        <f t="shared" si="36"/>
        <v>6.3782584581253254E-3</v>
      </c>
      <c r="S71" s="4">
        <f t="shared" si="37"/>
        <v>5.2206614312576033E-2</v>
      </c>
      <c r="T71" s="4">
        <f t="shared" si="38"/>
        <v>2.0922533657029268E-2</v>
      </c>
      <c r="U71" s="4">
        <f t="shared" si="39"/>
        <v>-2.0814880425154957E-2</v>
      </c>
      <c r="V71" s="4">
        <f t="shared" si="40"/>
        <v>-9.4724844825727308E-2</v>
      </c>
      <c r="AL71" s="49">
        <v>44834</v>
      </c>
      <c r="AM71">
        <v>0.19</v>
      </c>
      <c r="AN71" s="60"/>
    </row>
    <row r="72" spans="1:40">
      <c r="A72" s="49">
        <v>45565</v>
      </c>
      <c r="B72">
        <v>570.12099999999998</v>
      </c>
      <c r="C72">
        <v>71.099999999999994</v>
      </c>
      <c r="D72">
        <v>47.85</v>
      </c>
      <c r="E72" s="108">
        <v>98.12</v>
      </c>
      <c r="F72" s="108">
        <v>112.98</v>
      </c>
      <c r="G72">
        <v>110.47</v>
      </c>
      <c r="H72" s="108">
        <v>97.42</v>
      </c>
      <c r="I72" s="108">
        <v>243.06</v>
      </c>
      <c r="J72" s="108">
        <v>22.27</v>
      </c>
      <c r="K72" s="108">
        <v>63686.5</v>
      </c>
      <c r="M72" s="4">
        <f t="shared" si="31"/>
        <v>2.100312862088162E-2</v>
      </c>
      <c r="N72" s="4">
        <f t="shared" si="32"/>
        <v>2.3967291696036582E-3</v>
      </c>
      <c r="O72" s="4">
        <f t="shared" si="33"/>
        <v>6.9991055456171791E-2</v>
      </c>
      <c r="P72" s="4">
        <f t="shared" si="34"/>
        <v>1.0816936231585571E-2</v>
      </c>
      <c r="Q72" s="4">
        <f t="shared" si="35"/>
        <v>1.5915834906932921E-2</v>
      </c>
      <c r="R72" s="4">
        <f t="shared" si="36"/>
        <v>1.4696426931202298E-2</v>
      </c>
      <c r="S72" s="4">
        <f t="shared" si="37"/>
        <v>2.4072322085567185E-2</v>
      </c>
      <c r="T72" s="4">
        <f t="shared" si="38"/>
        <v>5.0888494963033465E-2</v>
      </c>
      <c r="U72" s="4">
        <f t="shared" si="39"/>
        <v>7.2365445499773928E-3</v>
      </c>
      <c r="V72" s="4">
        <f t="shared" si="40"/>
        <v>8.3531257230744047E-2</v>
      </c>
      <c r="AL72" s="49">
        <v>44865</v>
      </c>
      <c r="AM72">
        <v>0.23</v>
      </c>
      <c r="AN72" s="60"/>
    </row>
    <row r="73" spans="1:40">
      <c r="A73" s="49">
        <v>45596</v>
      </c>
      <c r="B73">
        <v>565.03399999999999</v>
      </c>
      <c r="C73">
        <v>67.180000000000007</v>
      </c>
      <c r="D73">
        <v>46.57</v>
      </c>
      <c r="E73" s="108">
        <v>94.52</v>
      </c>
      <c r="F73" s="108">
        <v>108.99</v>
      </c>
      <c r="G73">
        <v>108.31</v>
      </c>
      <c r="H73" s="108">
        <v>94.15</v>
      </c>
      <c r="I73" s="108">
        <v>253.51</v>
      </c>
      <c r="J73" s="108">
        <v>22.59</v>
      </c>
      <c r="K73" s="108">
        <v>70363</v>
      </c>
      <c r="M73" s="4">
        <f t="shared" si="31"/>
        <v>-8.9226672934341819E-3</v>
      </c>
      <c r="N73" s="4">
        <f t="shared" si="32"/>
        <v>-5.5133614627285339E-2</v>
      </c>
      <c r="O73" s="4">
        <f t="shared" si="33"/>
        <v>-2.6750261233019875E-2</v>
      </c>
      <c r="P73" s="4">
        <f t="shared" si="34"/>
        <v>-3.6689767631471755E-2</v>
      </c>
      <c r="Q73" s="4">
        <f t="shared" si="35"/>
        <v>-3.5315985130111603E-2</v>
      </c>
      <c r="R73" s="4">
        <f t="shared" si="36"/>
        <v>-1.9552819770073292E-2</v>
      </c>
      <c r="S73" s="4">
        <f t="shared" si="37"/>
        <v>-3.3566002874153109E-2</v>
      </c>
      <c r="T73" s="4">
        <f t="shared" si="38"/>
        <v>4.2993499547436802E-2</v>
      </c>
      <c r="U73" s="4">
        <f t="shared" si="39"/>
        <v>1.4369106421194445E-2</v>
      </c>
      <c r="V73" s="4">
        <f t="shared" si="40"/>
        <v>0.10483383448611558</v>
      </c>
      <c r="AL73" s="49">
        <v>44895</v>
      </c>
      <c r="AM73">
        <v>0.28999999999999998</v>
      </c>
      <c r="AN73" s="60"/>
    </row>
    <row r="74" spans="1:40">
      <c r="A74" s="49">
        <v>45626</v>
      </c>
      <c r="B74">
        <v>598.72799999999995</v>
      </c>
      <c r="C74">
        <v>66</v>
      </c>
      <c r="D74">
        <v>45.57</v>
      </c>
      <c r="E74" s="108">
        <v>95.19</v>
      </c>
      <c r="F74" s="108">
        <v>110.55</v>
      </c>
      <c r="G74">
        <v>108.76</v>
      </c>
      <c r="H74" s="108">
        <v>98.16</v>
      </c>
      <c r="I74" s="108">
        <v>245.59</v>
      </c>
      <c r="J74" s="108">
        <v>22.14</v>
      </c>
      <c r="K74" s="108">
        <v>97373.8</v>
      </c>
      <c r="M74" s="4">
        <f t="shared" si="31"/>
        <v>5.9631809767199777E-2</v>
      </c>
      <c r="N74" s="4">
        <f t="shared" si="32"/>
        <v>-1.7564751414111443E-2</v>
      </c>
      <c r="O74" s="4">
        <f t="shared" si="33"/>
        <v>-2.1473051320592657E-2</v>
      </c>
      <c r="P74" s="4">
        <f t="shared" si="34"/>
        <v>7.0884468895472041E-3</v>
      </c>
      <c r="Q74" s="4">
        <f t="shared" si="35"/>
        <v>1.431323974676578E-2</v>
      </c>
      <c r="R74" s="4">
        <f t="shared" si="36"/>
        <v>4.1547410211430413E-3</v>
      </c>
      <c r="S74" s="4">
        <f t="shared" si="37"/>
        <v>4.2591609134359963E-2</v>
      </c>
      <c r="T74" s="4">
        <f t="shared" si="38"/>
        <v>-3.1241371149067051E-2</v>
      </c>
      <c r="U74" s="4">
        <f t="shared" si="39"/>
        <v>-1.992031872509957E-2</v>
      </c>
      <c r="V74" s="4">
        <f t="shared" si="40"/>
        <v>0.3838778903685176</v>
      </c>
      <c r="AL74" s="49">
        <v>44926</v>
      </c>
      <c r="AM74">
        <v>0.33</v>
      </c>
      <c r="AN74" s="60"/>
    </row>
    <row r="75" spans="1:40">
      <c r="A75" s="49">
        <v>45657</v>
      </c>
      <c r="B75">
        <v>584.32299999999998</v>
      </c>
      <c r="C75">
        <v>63.47</v>
      </c>
      <c r="D75">
        <v>44.04</v>
      </c>
      <c r="E75" s="108">
        <v>92.45</v>
      </c>
      <c r="F75" s="108">
        <v>106.84</v>
      </c>
      <c r="G75">
        <v>106.55</v>
      </c>
      <c r="H75" s="108">
        <v>89.08</v>
      </c>
      <c r="I75" s="108">
        <v>242.13</v>
      </c>
      <c r="J75" s="108">
        <v>21.38</v>
      </c>
      <c r="K75" s="108">
        <v>93359.3</v>
      </c>
      <c r="M75" s="4">
        <f t="shared" si="31"/>
        <v>-2.4059339132293751E-2</v>
      </c>
      <c r="N75" s="4">
        <f t="shared" si="32"/>
        <v>-3.8333333333333351E-2</v>
      </c>
      <c r="O75" s="4">
        <f t="shared" si="33"/>
        <v>-3.3574720210664939E-2</v>
      </c>
      <c r="P75" s="4">
        <f t="shared" si="34"/>
        <v>-2.878453619077629E-2</v>
      </c>
      <c r="Q75" s="4">
        <f t="shared" si="35"/>
        <v>-3.355947535052007E-2</v>
      </c>
      <c r="R75" s="4">
        <f t="shared" si="36"/>
        <v>-2.0319970577418241E-2</v>
      </c>
      <c r="S75" s="4">
        <f t="shared" si="37"/>
        <v>-9.2502037489812533E-2</v>
      </c>
      <c r="T75" s="4">
        <f t="shared" si="38"/>
        <v>-1.4088521519605879E-2</v>
      </c>
      <c r="U75" s="4">
        <f t="shared" si="39"/>
        <v>-3.4327009936766101E-2</v>
      </c>
      <c r="V75" s="4">
        <f t="shared" si="40"/>
        <v>-4.1227722446900497E-2</v>
      </c>
      <c r="AL75" s="49">
        <v>44957</v>
      </c>
      <c r="AM75">
        <v>0.35</v>
      </c>
      <c r="AN75" s="60"/>
    </row>
    <row r="76" spans="1:40">
      <c r="A76" s="49">
        <v>45688</v>
      </c>
      <c r="B76">
        <v>600.01599999999996</v>
      </c>
      <c r="C76">
        <v>67.5</v>
      </c>
      <c r="D76">
        <v>44.4</v>
      </c>
      <c r="E76" s="108">
        <v>93.02</v>
      </c>
      <c r="F76" s="108">
        <v>107.46</v>
      </c>
      <c r="G76">
        <v>108.01</v>
      </c>
      <c r="H76" s="108">
        <v>90.55</v>
      </c>
      <c r="I76" s="108">
        <v>258.56</v>
      </c>
      <c r="J76" s="108">
        <v>21.97</v>
      </c>
      <c r="K76" s="108">
        <v>101597</v>
      </c>
      <c r="M76" s="4">
        <f t="shared" si="31"/>
        <v>2.6856721368147384E-2</v>
      </c>
      <c r="N76" s="4">
        <f t="shared" si="32"/>
        <v>6.3494564361115502E-2</v>
      </c>
      <c r="O76" s="4">
        <f t="shared" si="33"/>
        <v>8.1743869209809136E-3</v>
      </c>
      <c r="P76" s="4">
        <f t="shared" si="34"/>
        <v>6.1654948620875408E-3</v>
      </c>
      <c r="Q76" s="4">
        <f t="shared" si="35"/>
        <v>5.8030700112316575E-3</v>
      </c>
      <c r="R76" s="4">
        <f t="shared" si="36"/>
        <v>1.3702487095260516E-2</v>
      </c>
      <c r="S76" s="4">
        <f t="shared" si="37"/>
        <v>1.6502020655590467E-2</v>
      </c>
      <c r="T76" s="4">
        <f t="shared" si="38"/>
        <v>6.7856110353942123E-2</v>
      </c>
      <c r="U76" s="4">
        <f t="shared" si="39"/>
        <v>2.759588400374181E-2</v>
      </c>
      <c r="V76" s="4">
        <f t="shared" si="40"/>
        <v>8.823652276741574E-2</v>
      </c>
      <c r="AL76" s="49">
        <v>44985</v>
      </c>
      <c r="AM76">
        <v>0.34</v>
      </c>
      <c r="AN76" s="60"/>
    </row>
    <row r="77" spans="1:40">
      <c r="A77" s="49">
        <v>45716</v>
      </c>
      <c r="B77">
        <v>592.39800000000002</v>
      </c>
      <c r="C77">
        <v>70.2</v>
      </c>
      <c r="D77">
        <v>44.73</v>
      </c>
      <c r="E77" s="108">
        <v>95.32</v>
      </c>
      <c r="F77" s="108">
        <v>109.61</v>
      </c>
      <c r="G77">
        <v>110.34</v>
      </c>
      <c r="H77" s="108">
        <v>93.9</v>
      </c>
      <c r="I77" s="108">
        <v>263.27</v>
      </c>
      <c r="J77" s="108">
        <v>22</v>
      </c>
      <c r="K77" s="108">
        <v>84128.3</v>
      </c>
      <c r="M77" s="4">
        <f t="shared" si="31"/>
        <v>-1.2696328097917287E-2</v>
      </c>
      <c r="N77" s="4">
        <f t="shared" si="32"/>
        <v>4.0000000000000042E-2</v>
      </c>
      <c r="O77" s="4">
        <f t="shared" si="33"/>
        <v>7.4324324324323947E-3</v>
      </c>
      <c r="P77" s="4">
        <f t="shared" si="34"/>
        <v>2.4725865405289156E-2</v>
      </c>
      <c r="Q77" s="4">
        <f t="shared" si="35"/>
        <v>2.0007444630560263E-2</v>
      </c>
      <c r="R77" s="4">
        <f t="shared" si="36"/>
        <v>2.1572076659568541E-2</v>
      </c>
      <c r="S77" s="4">
        <f t="shared" si="37"/>
        <v>3.6996134732192251E-2</v>
      </c>
      <c r="T77" s="4">
        <f t="shared" si="38"/>
        <v>1.8216274752475167E-2</v>
      </c>
      <c r="U77" s="4">
        <f t="shared" si="39"/>
        <v>1.3654984069185771E-3</v>
      </c>
      <c r="V77" s="4">
        <f t="shared" si="40"/>
        <v>-0.17194110062304988</v>
      </c>
      <c r="AL77" s="49">
        <v>45016</v>
      </c>
      <c r="AM77">
        <v>0.36</v>
      </c>
      <c r="AN77" s="60"/>
    </row>
    <row r="78" spans="1:40">
      <c r="A78" s="49">
        <v>45747</v>
      </c>
      <c r="B78">
        <v>559.39</v>
      </c>
      <c r="C78">
        <v>70.209999999999994</v>
      </c>
      <c r="D78">
        <v>45.26</v>
      </c>
      <c r="E78" s="108">
        <v>95.37</v>
      </c>
      <c r="F78" s="108">
        <v>108.69</v>
      </c>
      <c r="G78">
        <v>111.09</v>
      </c>
      <c r="H78" s="108">
        <v>90.54</v>
      </c>
      <c r="I78" s="108">
        <v>288.14</v>
      </c>
      <c r="J78" s="108">
        <v>22.5</v>
      </c>
      <c r="K78" s="108">
        <v>82586.600000000006</v>
      </c>
      <c r="M78" s="4">
        <f t="shared" si="31"/>
        <v>-5.5719296824094676E-2</v>
      </c>
      <c r="N78" s="4">
        <f t="shared" si="32"/>
        <v>1.4245014245001288E-4</v>
      </c>
      <c r="O78" s="4">
        <f t="shared" si="33"/>
        <v>1.1848871003800608E-2</v>
      </c>
      <c r="P78" s="4">
        <f t="shared" si="34"/>
        <v>5.245488879564768E-4</v>
      </c>
      <c r="Q78" s="4">
        <f t="shared" si="35"/>
        <v>-8.3933947632515438E-3</v>
      </c>
      <c r="R78" s="4">
        <f t="shared" si="36"/>
        <v>6.7971723762914622E-3</v>
      </c>
      <c r="S78" s="4">
        <f t="shared" si="37"/>
        <v>-3.5782747603833855E-2</v>
      </c>
      <c r="T78" s="4">
        <f t="shared" si="38"/>
        <v>9.4465757587267843E-2</v>
      </c>
      <c r="U78" s="4">
        <f t="shared" si="39"/>
        <v>2.2727272727272728E-2</v>
      </c>
      <c r="V78" s="4">
        <f t="shared" si="40"/>
        <v>-1.8325581284775717E-2</v>
      </c>
      <c r="AL78" s="49">
        <v>45046</v>
      </c>
      <c r="AM78">
        <v>0.35</v>
      </c>
      <c r="AN78" s="60"/>
    </row>
    <row r="79" spans="1:40">
      <c r="A79" s="49">
        <v>45777</v>
      </c>
      <c r="B79">
        <v>554.54</v>
      </c>
      <c r="C79">
        <v>72.91</v>
      </c>
      <c r="D79">
        <v>45.25</v>
      </c>
      <c r="E79" s="108">
        <v>96.07</v>
      </c>
      <c r="F79" s="108">
        <v>107.98</v>
      </c>
      <c r="G79">
        <v>110.52</v>
      </c>
      <c r="H79" s="108">
        <v>88.33</v>
      </c>
      <c r="I79" s="108">
        <v>303.77</v>
      </c>
      <c r="J79" s="108">
        <v>20.57</v>
      </c>
      <c r="K79" s="108">
        <v>94410.8</v>
      </c>
      <c r="M79" s="4">
        <f t="shared" si="31"/>
        <v>-8.6701585655804044E-3</v>
      </c>
      <c r="N79" s="4">
        <f t="shared" si="32"/>
        <v>3.845606039025784E-2</v>
      </c>
      <c r="O79" s="4">
        <f t="shared" si="33"/>
        <v>-2.2094564737070284E-4</v>
      </c>
      <c r="P79" s="4">
        <f t="shared" si="34"/>
        <v>7.3398343294535867E-3</v>
      </c>
      <c r="Q79" s="4">
        <f t="shared" si="35"/>
        <v>-6.5323396816633888E-3</v>
      </c>
      <c r="R79" s="4">
        <f t="shared" si="36"/>
        <v>-5.1309748852282596E-3</v>
      </c>
      <c r="S79" s="4">
        <f t="shared" si="37"/>
        <v>-2.4409100949856502E-2</v>
      </c>
      <c r="T79" s="4">
        <f t="shared" si="38"/>
        <v>5.4244464496425338E-2</v>
      </c>
      <c r="U79" s="4">
        <f t="shared" si="39"/>
        <v>-8.5777777777777758E-2</v>
      </c>
      <c r="V79" s="4">
        <f t="shared" si="40"/>
        <v>0.14317334773437818</v>
      </c>
      <c r="AL79" s="49">
        <v>45077</v>
      </c>
      <c r="AM79">
        <v>0.36</v>
      </c>
      <c r="AN79" s="60"/>
    </row>
    <row r="80" spans="1:40">
      <c r="A80" s="49">
        <v>45808</v>
      </c>
      <c r="B80">
        <v>589.39</v>
      </c>
      <c r="C80">
        <v>76.760000000000005</v>
      </c>
      <c r="D80">
        <v>47</v>
      </c>
      <c r="E80" s="108">
        <v>94.57</v>
      </c>
      <c r="F80" s="108">
        <v>107.77</v>
      </c>
      <c r="G80">
        <v>109.29</v>
      </c>
      <c r="H80" s="108">
        <v>89.32</v>
      </c>
      <c r="I80" s="108">
        <v>303.60000000000002</v>
      </c>
      <c r="J80" s="108">
        <v>20.88</v>
      </c>
      <c r="K80" s="108">
        <v>104584</v>
      </c>
      <c r="M80" s="4">
        <f t="shared" si="31"/>
        <v>6.284488044144701E-2</v>
      </c>
      <c r="N80" s="4">
        <f t="shared" si="32"/>
        <v>5.2804827869976804E-2</v>
      </c>
      <c r="O80" s="4">
        <f t="shared" si="33"/>
        <v>3.8674033149171269E-2</v>
      </c>
      <c r="P80" s="4">
        <f t="shared" si="34"/>
        <v>-1.5613615072343084E-2</v>
      </c>
      <c r="Q80" s="4">
        <f t="shared" si="35"/>
        <v>-1.9448045934433039E-3</v>
      </c>
      <c r="R80" s="4">
        <f t="shared" si="36"/>
        <v>-1.1129207383278952E-2</v>
      </c>
      <c r="S80" s="4">
        <f t="shared" si="37"/>
        <v>1.1207970112079644E-2</v>
      </c>
      <c r="T80" s="4">
        <f t="shared" si="38"/>
        <v>-5.5963393356802543E-4</v>
      </c>
      <c r="U80" s="4">
        <f t="shared" si="39"/>
        <v>1.5070491006319821E-2</v>
      </c>
      <c r="V80" s="4">
        <f t="shared" si="40"/>
        <v>0.10775462129332658</v>
      </c>
      <c r="AL80" s="49">
        <v>45107</v>
      </c>
      <c r="AM80">
        <v>0.4</v>
      </c>
      <c r="AN80" s="60"/>
    </row>
    <row r="81" spans="1:40">
      <c r="A81" s="49">
        <v>45838</v>
      </c>
      <c r="B81">
        <v>617.85</v>
      </c>
      <c r="C81">
        <v>77.5</v>
      </c>
      <c r="D81">
        <v>49.46</v>
      </c>
      <c r="E81" s="108">
        <v>95.77</v>
      </c>
      <c r="F81" s="108">
        <v>109.61</v>
      </c>
      <c r="G81">
        <v>110.04</v>
      </c>
      <c r="H81" s="108">
        <v>89.06</v>
      </c>
      <c r="I81" s="108">
        <v>304.83</v>
      </c>
      <c r="J81" s="108">
        <v>21.81</v>
      </c>
      <c r="K81" s="108">
        <v>107173</v>
      </c>
      <c r="M81" s="4">
        <f t="shared" si="31"/>
        <v>4.828721220244666E-2</v>
      </c>
      <c r="N81" s="4">
        <f t="shared" si="32"/>
        <v>9.640437727983257E-3</v>
      </c>
      <c r="O81" s="4">
        <f t="shared" si="33"/>
        <v>5.2340425531914911E-2</v>
      </c>
      <c r="P81" s="4">
        <f t="shared" si="34"/>
        <v>1.2689013429205909E-2</v>
      </c>
      <c r="Q81" s="4">
        <f t="shared" si="35"/>
        <v>1.7073397049271629E-2</v>
      </c>
      <c r="R81" s="4">
        <f t="shared" si="36"/>
        <v>6.862475981334065E-3</v>
      </c>
      <c r="S81" s="4">
        <f t="shared" si="37"/>
        <v>-2.9108822212269474E-3</v>
      </c>
      <c r="T81" s="4">
        <f t="shared" si="38"/>
        <v>4.0513833992093587E-3</v>
      </c>
      <c r="U81" s="4">
        <f t="shared" si="39"/>
        <v>4.4540229885057459E-2</v>
      </c>
      <c r="V81" s="4">
        <f t="shared" si="40"/>
        <v>2.4755220683852216E-2</v>
      </c>
      <c r="AL81" s="49">
        <v>45138</v>
      </c>
      <c r="AM81">
        <v>0.45</v>
      </c>
      <c r="AN81" s="60"/>
    </row>
    <row r="82" spans="1:40">
      <c r="A82" s="49">
        <v>45869</v>
      </c>
      <c r="B82">
        <v>632.08000000000004</v>
      </c>
      <c r="C82">
        <v>75.650000000000006</v>
      </c>
      <c r="D82">
        <v>49.8</v>
      </c>
      <c r="E82" s="108">
        <v>94.9</v>
      </c>
      <c r="F82" s="108">
        <v>109.11</v>
      </c>
      <c r="G82">
        <v>109.67</v>
      </c>
      <c r="H82" s="108">
        <v>89.14</v>
      </c>
      <c r="I82" s="108">
        <v>302.95999999999998</v>
      </c>
      <c r="J82" s="108">
        <v>22.45</v>
      </c>
      <c r="K82" s="108">
        <v>116308</v>
      </c>
      <c r="M82" s="4">
        <f t="shared" si="31"/>
        <v>2.3031480132718326E-2</v>
      </c>
      <c r="N82" s="4">
        <f t="shared" si="32"/>
        <v>-2.3870967741935409E-2</v>
      </c>
      <c r="O82" s="4">
        <f t="shared" si="33"/>
        <v>6.8742418115648263E-3</v>
      </c>
      <c r="P82" s="4">
        <f t="shared" si="34"/>
        <v>-9.0842643834185069E-3</v>
      </c>
      <c r="Q82" s="4">
        <f t="shared" si="35"/>
        <v>-4.561627588723657E-3</v>
      </c>
      <c r="R82" s="4">
        <f t="shared" si="36"/>
        <v>-3.3624136677572205E-3</v>
      </c>
      <c r="S82" s="4">
        <f t="shared" si="37"/>
        <v>8.9827082865482028E-4</v>
      </c>
      <c r="T82" s="4">
        <f t="shared" si="38"/>
        <v>-6.1345668077289134E-3</v>
      </c>
      <c r="U82" s="4">
        <f t="shared" si="39"/>
        <v>2.9344337459880816E-2</v>
      </c>
      <c r="V82" s="4">
        <f t="shared" si="40"/>
        <v>8.523602026629841E-2</v>
      </c>
      <c r="AL82" s="49">
        <v>45169</v>
      </c>
      <c r="AM82">
        <v>0.45</v>
      </c>
      <c r="AN82" s="60"/>
    </row>
    <row r="83" spans="1:40">
      <c r="A83" s="49">
        <v>45900</v>
      </c>
      <c r="B83">
        <v>645.04999999999995</v>
      </c>
      <c r="C83">
        <v>78.5</v>
      </c>
      <c r="D83">
        <v>51.53</v>
      </c>
      <c r="E83" s="108">
        <v>96.15</v>
      </c>
      <c r="F83" s="108">
        <v>109.8</v>
      </c>
      <c r="G83">
        <v>111.17</v>
      </c>
      <c r="H83" s="108">
        <v>92.24</v>
      </c>
      <c r="I83" s="108">
        <v>318.07</v>
      </c>
      <c r="J83" s="108">
        <v>22.21</v>
      </c>
      <c r="K83" s="108">
        <v>108198</v>
      </c>
      <c r="M83" s="4">
        <f t="shared" si="31"/>
        <v>2.051955448677369E-2</v>
      </c>
      <c r="N83" s="4">
        <f t="shared" si="32"/>
        <v>3.7673496364837994E-2</v>
      </c>
      <c r="O83" s="4">
        <f t="shared" si="33"/>
        <v>3.4738955823293255E-2</v>
      </c>
      <c r="P83" s="4">
        <f t="shared" si="34"/>
        <v>1.3171759747102212E-2</v>
      </c>
      <c r="Q83" s="4">
        <f t="shared" si="35"/>
        <v>6.3238933186692122E-3</v>
      </c>
      <c r="R83" s="4">
        <f t="shared" si="36"/>
        <v>1.3677395823835141E-2</v>
      </c>
      <c r="S83" s="4">
        <f t="shared" si="37"/>
        <v>3.4776755665245615E-2</v>
      </c>
      <c r="T83" s="4">
        <f t="shared" si="38"/>
        <v>4.9874570900448952E-2</v>
      </c>
      <c r="U83" s="4">
        <f t="shared" si="39"/>
        <v>-1.0690423162583449E-2</v>
      </c>
      <c r="V83" s="4">
        <f t="shared" si="40"/>
        <v>-6.9728651511503939E-2</v>
      </c>
      <c r="AL83" s="49">
        <v>45199</v>
      </c>
      <c r="AM83">
        <v>0.43</v>
      </c>
      <c r="AN83" s="60"/>
    </row>
    <row r="84" spans="1:40">
      <c r="A84" s="49">
        <v>45930</v>
      </c>
      <c r="B84">
        <v>666.18</v>
      </c>
      <c r="C84">
        <v>79.8</v>
      </c>
      <c r="D84">
        <v>54.18</v>
      </c>
      <c r="E84" s="108">
        <v>96.46</v>
      </c>
      <c r="F84" s="108">
        <v>111.47</v>
      </c>
      <c r="G84">
        <v>111.22</v>
      </c>
      <c r="H84" s="108">
        <v>91.42</v>
      </c>
      <c r="I84" s="108">
        <v>355.47</v>
      </c>
      <c r="J84" s="108">
        <v>22.53</v>
      </c>
      <c r="K84" s="108">
        <v>114232</v>
      </c>
      <c r="M84" s="4">
        <f t="shared" si="31"/>
        <v>3.275715060847996E-2</v>
      </c>
      <c r="N84" s="4">
        <f t="shared" si="32"/>
        <v>1.6560509554140092E-2</v>
      </c>
      <c r="O84" s="4">
        <f t="shared" si="33"/>
        <v>5.1426353580438552E-2</v>
      </c>
      <c r="P84" s="4">
        <f t="shared" si="34"/>
        <v>3.2241289651584819E-3</v>
      </c>
      <c r="Q84" s="4">
        <f t="shared" si="35"/>
        <v>1.5209471766848831E-2</v>
      </c>
      <c r="R84" s="4">
        <f t="shared" si="36"/>
        <v>4.4976162633801527E-4</v>
      </c>
      <c r="S84" s="4">
        <f t="shared" si="37"/>
        <v>-8.889852558542858E-3</v>
      </c>
      <c r="T84" s="4">
        <f t="shared" si="38"/>
        <v>0.11758417958311075</v>
      </c>
      <c r="U84" s="4">
        <f t="shared" si="39"/>
        <v>1.440792435839713E-2</v>
      </c>
      <c r="V84" s="4">
        <f t="shared" si="40"/>
        <v>5.5768128800902053E-2</v>
      </c>
      <c r="AL84" s="49">
        <v>45230</v>
      </c>
      <c r="AM84">
        <v>0.47</v>
      </c>
      <c r="AN84" s="60"/>
    </row>
    <row r="85" spans="1:40">
      <c r="A85" s="49">
        <v>45961</v>
      </c>
      <c r="B85">
        <v>682.06</v>
      </c>
      <c r="C85">
        <v>80.3</v>
      </c>
      <c r="D85">
        <v>54.97</v>
      </c>
      <c r="E85" s="108">
        <v>96.85</v>
      </c>
      <c r="F85" s="108">
        <v>111.23</v>
      </c>
      <c r="G85">
        <v>111.38</v>
      </c>
      <c r="H85" s="108">
        <v>89.18</v>
      </c>
      <c r="I85" s="108">
        <v>368.12</v>
      </c>
      <c r="J85" s="108">
        <v>22.88</v>
      </c>
      <c r="K85" s="108">
        <v>109497</v>
      </c>
      <c r="M85" s="4">
        <f t="shared" si="31"/>
        <v>2.3837401302951148E-2</v>
      </c>
      <c r="N85" s="4">
        <f t="shared" si="32"/>
        <v>6.265664160401003E-3</v>
      </c>
      <c r="O85" s="4">
        <f t="shared" si="33"/>
        <v>1.458102620893317E-2</v>
      </c>
      <c r="P85" s="4">
        <f t="shared" si="34"/>
        <v>4.0431266846361249E-3</v>
      </c>
      <c r="Q85" s="4">
        <f t="shared" si="35"/>
        <v>-2.1530456625100465E-3</v>
      </c>
      <c r="R85" s="4">
        <f t="shared" si="36"/>
        <v>1.4385901816219798E-3</v>
      </c>
      <c r="S85" s="4">
        <f t="shared" si="37"/>
        <v>-2.4502297090352163E-2</v>
      </c>
      <c r="T85" s="4">
        <f t="shared" si="38"/>
        <v>3.5586688046811199E-2</v>
      </c>
      <c r="U85" s="4">
        <f t="shared" si="39"/>
        <v>1.5534842432312377E-2</v>
      </c>
      <c r="V85" s="4">
        <f t="shared" si="40"/>
        <v>-4.1450731843966665E-2</v>
      </c>
      <c r="AL85" s="49">
        <v>45260</v>
      </c>
      <c r="AM85">
        <v>0.44</v>
      </c>
      <c r="AN85" s="60"/>
    </row>
    <row r="86" spans="1:40">
      <c r="A86" s="49">
        <v>45991</v>
      </c>
      <c r="B86">
        <v>683.39</v>
      </c>
      <c r="C86">
        <v>81.53</v>
      </c>
      <c r="D86">
        <v>54.3</v>
      </c>
      <c r="E86" s="108">
        <v>97.5</v>
      </c>
      <c r="F86" s="108">
        <v>111.86</v>
      </c>
      <c r="G86">
        <v>111.26</v>
      </c>
      <c r="H86" s="108">
        <v>91.34</v>
      </c>
      <c r="I86" s="108">
        <v>387.88</v>
      </c>
      <c r="J86" s="108">
        <v>23.06</v>
      </c>
      <c r="K86" s="108">
        <v>91239.2</v>
      </c>
      <c r="M86" s="4">
        <f t="shared" si="31"/>
        <v>1.9499750755066138E-3</v>
      </c>
      <c r="N86" s="4">
        <f t="shared" si="32"/>
        <v>1.5317559153175642E-2</v>
      </c>
      <c r="O86" s="4">
        <f t="shared" si="33"/>
        <v>-1.218846643623798E-2</v>
      </c>
      <c r="P86" s="4">
        <f t="shared" si="34"/>
        <v>6.7114093959732132E-3</v>
      </c>
      <c r="Q86" s="4">
        <f t="shared" si="35"/>
        <v>5.6639395846443891E-3</v>
      </c>
      <c r="R86" s="4">
        <f t="shared" si="36"/>
        <v>-1.0773927096425781E-3</v>
      </c>
      <c r="S86" s="4">
        <f t="shared" si="37"/>
        <v>2.4220677281901731E-2</v>
      </c>
      <c r="T86" s="4">
        <f t="shared" si="38"/>
        <v>5.3678148429859802E-2</v>
      </c>
      <c r="U86" s="4">
        <f t="shared" si="39"/>
        <v>7.8671328671328557E-3</v>
      </c>
      <c r="V86" s="4">
        <f t="shared" si="40"/>
        <v>-0.16674246783016888</v>
      </c>
      <c r="AL86" s="49">
        <v>45291</v>
      </c>
      <c r="AM86">
        <v>0.43</v>
      </c>
      <c r="AN86" s="60"/>
    </row>
    <row r="87" spans="1:40">
      <c r="A87" s="49">
        <v>46008</v>
      </c>
      <c r="B87">
        <v>671.4</v>
      </c>
      <c r="C87">
        <v>82.59</v>
      </c>
      <c r="D87">
        <v>53.13</v>
      </c>
      <c r="E87" s="108">
        <v>96.525000000000006</v>
      </c>
      <c r="F87" s="108">
        <v>110.435</v>
      </c>
      <c r="G87">
        <v>110.29</v>
      </c>
      <c r="H87" s="108">
        <v>89.41</v>
      </c>
      <c r="I87" s="108">
        <v>399.29</v>
      </c>
      <c r="J87" s="108">
        <v>22.85</v>
      </c>
      <c r="K87" s="108">
        <v>86352</v>
      </c>
      <c r="M87" s="4">
        <f t="shared" si="31"/>
        <v>-1.7544886521605539E-2</v>
      </c>
      <c r="N87" s="4">
        <f t="shared" si="32"/>
        <v>1.300134919661477E-2</v>
      </c>
      <c r="O87" s="4">
        <f t="shared" si="33"/>
        <v>-2.1546961325966753E-2</v>
      </c>
      <c r="P87" s="4">
        <f t="shared" si="34"/>
        <v>-9.9999999999999412E-3</v>
      </c>
      <c r="Q87" s="4">
        <f t="shared" si="35"/>
        <v>-1.2739138208474854E-2</v>
      </c>
      <c r="R87" s="4">
        <f t="shared" si="36"/>
        <v>-8.7183174546108105E-3</v>
      </c>
      <c r="S87" s="4">
        <f t="shared" si="37"/>
        <v>-2.112984453689519E-2</v>
      </c>
      <c r="T87" s="4">
        <f t="shared" si="38"/>
        <v>2.9416314324017801E-2</v>
      </c>
      <c r="U87" s="4">
        <f t="shared" si="39"/>
        <v>-9.1066782307023982E-3</v>
      </c>
      <c r="V87" s="4">
        <f t="shared" si="40"/>
        <v>-5.3564695876333827E-2</v>
      </c>
      <c r="AL87" s="49">
        <v>45322</v>
      </c>
      <c r="AM87">
        <v>0.47</v>
      </c>
      <c r="AN87" s="60"/>
    </row>
    <row r="88" spans="1:40">
      <c r="AB88" s="49"/>
      <c r="AD88" s="60"/>
    </row>
    <row r="89" spans="1:40">
      <c r="M89" s="4"/>
      <c r="N89" s="4"/>
      <c r="O89" s="4"/>
      <c r="P89" s="4"/>
      <c r="Q89" s="4"/>
      <c r="R89" s="4"/>
      <c r="S89" s="4"/>
      <c r="T89" s="4"/>
      <c r="U89" s="4"/>
      <c r="V89" s="4"/>
      <c r="AL89" s="49">
        <v>45382</v>
      </c>
      <c r="AM89">
        <v>0.43</v>
      </c>
      <c r="AN89" s="60"/>
    </row>
    <row r="90" spans="1:40">
      <c r="M90" s="4"/>
      <c r="N90" s="4"/>
      <c r="O90" s="4"/>
      <c r="P90" s="4"/>
      <c r="Q90" s="4"/>
      <c r="R90" s="4"/>
      <c r="S90" s="4"/>
      <c r="T90" s="4"/>
      <c r="U90" s="4"/>
      <c r="V90" s="4"/>
      <c r="AL90" s="49">
        <v>45412</v>
      </c>
      <c r="AM90">
        <v>0.47</v>
      </c>
      <c r="AN90" s="60"/>
    </row>
    <row r="91" spans="1:40">
      <c r="M91" s="4"/>
      <c r="N91" s="4"/>
      <c r="O91" s="4"/>
      <c r="P91" s="4"/>
      <c r="Q91" s="4"/>
      <c r="R91" s="4"/>
      <c r="S91" s="4"/>
      <c r="T91" s="4"/>
      <c r="U91" s="4"/>
      <c r="V91" s="4"/>
      <c r="AL91" s="49">
        <v>45443</v>
      </c>
      <c r="AM91">
        <v>0.44</v>
      </c>
      <c r="AN91" s="60"/>
    </row>
    <row r="92" spans="1:40">
      <c r="M92" s="4"/>
      <c r="N92" s="4"/>
      <c r="O92" s="4"/>
      <c r="P92" s="4"/>
      <c r="Q92" s="4"/>
      <c r="R92" s="4"/>
      <c r="S92" s="4"/>
      <c r="T92" s="4"/>
      <c r="U92" s="4"/>
      <c r="V92" s="4"/>
      <c r="AL92" s="49">
        <v>45473</v>
      </c>
      <c r="AM92">
        <v>0.41</v>
      </c>
      <c r="AN92" s="60"/>
    </row>
    <row r="93" spans="1:40">
      <c r="M93" s="4"/>
      <c r="N93" s="4"/>
      <c r="O93" s="4"/>
      <c r="P93" s="4"/>
      <c r="Q93" s="4"/>
      <c r="R93" s="4"/>
      <c r="S93" s="4"/>
      <c r="T93" s="4"/>
      <c r="U93" s="4"/>
      <c r="V93" s="4"/>
      <c r="AL93" s="49">
        <v>45504</v>
      </c>
      <c r="AM93">
        <v>0.45</v>
      </c>
      <c r="AN93" s="60"/>
    </row>
    <row r="94" spans="1:40">
      <c r="M94" s="4"/>
      <c r="N94" s="4"/>
      <c r="O94" s="4"/>
      <c r="P94" s="4"/>
      <c r="Q94" s="4"/>
      <c r="R94" s="4"/>
      <c r="S94" s="4"/>
      <c r="T94" s="4"/>
      <c r="U94" s="4"/>
      <c r="V94" s="4"/>
      <c r="AL94" s="49">
        <v>45535</v>
      </c>
      <c r="AM94">
        <v>0.48</v>
      </c>
      <c r="AN94" s="60"/>
    </row>
    <row r="95" spans="1:40">
      <c r="M95" s="4"/>
      <c r="N95" s="4"/>
      <c r="O95" s="4"/>
      <c r="P95" s="4"/>
      <c r="Q95" s="4"/>
      <c r="R95" s="4"/>
      <c r="S95" s="4"/>
      <c r="T95" s="4"/>
      <c r="U95" s="4"/>
      <c r="V95" s="4"/>
      <c r="AL95" s="49">
        <v>45565</v>
      </c>
      <c r="AM95">
        <v>0.4</v>
      </c>
      <c r="AN95" s="60"/>
    </row>
    <row r="96" spans="1:40">
      <c r="M96" s="4"/>
      <c r="N96" s="4"/>
      <c r="O96" s="4"/>
      <c r="P96" s="4"/>
      <c r="Q96" s="4"/>
      <c r="R96" s="4"/>
      <c r="S96" s="4"/>
      <c r="T96" s="4"/>
      <c r="U96" s="4"/>
      <c r="V96" s="4"/>
      <c r="AL96" s="49">
        <v>45596</v>
      </c>
      <c r="AM96">
        <v>0.39</v>
      </c>
      <c r="AN96" s="60"/>
    </row>
    <row r="97" spans="13:40">
      <c r="M97" s="4"/>
      <c r="N97" s="4"/>
      <c r="O97" s="4"/>
      <c r="P97" s="4"/>
      <c r="Q97" s="4"/>
      <c r="R97" s="4"/>
      <c r="S97" s="4"/>
      <c r="T97" s="4"/>
      <c r="U97" s="4"/>
      <c r="V97" s="4"/>
      <c r="AL97" s="49">
        <v>45626</v>
      </c>
      <c r="AM97">
        <v>0.4</v>
      </c>
      <c r="AN97" s="60"/>
    </row>
    <row r="98" spans="13:40">
      <c r="M98" s="4"/>
      <c r="N98" s="4"/>
      <c r="O98" s="4"/>
      <c r="P98" s="4"/>
      <c r="Q98" s="4"/>
      <c r="R98" s="4"/>
      <c r="S98" s="4"/>
      <c r="T98" s="4"/>
      <c r="U98" s="4"/>
      <c r="V98" s="4"/>
      <c r="AL98" s="49">
        <v>45657</v>
      </c>
      <c r="AM98">
        <v>0.37</v>
      </c>
      <c r="AN98" s="60"/>
    </row>
    <row r="99" spans="13:40">
      <c r="M99" s="4"/>
      <c r="N99" s="4"/>
      <c r="O99" s="4"/>
      <c r="P99" s="4"/>
      <c r="Q99" s="4"/>
      <c r="R99" s="4"/>
      <c r="S99" s="4"/>
      <c r="T99" s="4"/>
      <c r="U99" s="4"/>
      <c r="V99" s="4"/>
      <c r="AL99" s="49">
        <v>45688</v>
      </c>
      <c r="AM99">
        <v>0.37</v>
      </c>
      <c r="AN99" s="60"/>
    </row>
    <row r="100" spans="13:40">
      <c r="M100" s="4"/>
      <c r="N100" s="4"/>
      <c r="O100" s="4"/>
      <c r="P100" s="4"/>
      <c r="Q100" s="4"/>
      <c r="R100" s="4"/>
      <c r="S100" s="4"/>
      <c r="T100" s="4"/>
      <c r="U100" s="4"/>
      <c r="V100" s="4"/>
      <c r="AL100" s="49">
        <v>45716</v>
      </c>
      <c r="AM100">
        <v>0.33</v>
      </c>
      <c r="AN100" s="60"/>
    </row>
    <row r="101" spans="13:40">
      <c r="M101" s="4"/>
      <c r="N101" s="4"/>
      <c r="O101" s="4"/>
      <c r="P101" s="4"/>
      <c r="Q101" s="4"/>
      <c r="R101" s="4"/>
      <c r="S101" s="4"/>
      <c r="T101" s="4"/>
      <c r="U101" s="4"/>
      <c r="V101" s="4"/>
      <c r="AL101" s="49">
        <v>45747</v>
      </c>
      <c r="AM101">
        <v>0.34</v>
      </c>
      <c r="AN101" s="60"/>
    </row>
    <row r="102" spans="13:40">
      <c r="M102" s="4"/>
      <c r="N102" s="4"/>
      <c r="O102" s="4"/>
      <c r="P102" s="4"/>
      <c r="Q102" s="4"/>
      <c r="R102" s="4"/>
      <c r="S102" s="4"/>
      <c r="T102" s="4"/>
      <c r="U102" s="4"/>
      <c r="V102" s="4"/>
      <c r="AL102" s="49">
        <v>45777</v>
      </c>
      <c r="AM102">
        <v>0.35</v>
      </c>
      <c r="AN102" s="60"/>
    </row>
    <row r="103" spans="13:40">
      <c r="M103" s="4"/>
      <c r="N103" s="4"/>
      <c r="O103" s="4"/>
      <c r="P103" s="4"/>
      <c r="Q103" s="4"/>
      <c r="R103" s="4"/>
      <c r="S103" s="4"/>
      <c r="T103" s="4"/>
      <c r="U103" s="4"/>
      <c r="V103" s="4"/>
      <c r="AL103" s="49">
        <v>45808</v>
      </c>
      <c r="AM103">
        <v>0.38</v>
      </c>
      <c r="AN103" s="60"/>
    </row>
    <row r="104" spans="13:40">
      <c r="M104" s="4"/>
      <c r="N104" s="4"/>
      <c r="O104" s="4"/>
      <c r="P104" s="4"/>
      <c r="Q104" s="4"/>
      <c r="R104" s="4"/>
      <c r="S104" s="4"/>
      <c r="T104" s="4"/>
      <c r="U104" s="4"/>
      <c r="V104" s="4"/>
      <c r="AL104" s="49">
        <v>45838</v>
      </c>
      <c r="AM104">
        <v>0.34</v>
      </c>
      <c r="AN104" s="60"/>
    </row>
    <row r="105" spans="13:40">
      <c r="M105" s="4"/>
      <c r="N105" s="4"/>
      <c r="O105" s="4"/>
      <c r="P105" s="4"/>
      <c r="Q105" s="4"/>
      <c r="R105" s="4"/>
      <c r="S105" s="4"/>
      <c r="T105" s="4"/>
      <c r="U105" s="4"/>
      <c r="V105" s="4"/>
      <c r="AL105" s="49">
        <v>45869</v>
      </c>
      <c r="AM105">
        <v>0.34</v>
      </c>
      <c r="AN105" s="60"/>
    </row>
    <row r="106" spans="13:40">
      <c r="M106" s="4"/>
      <c r="N106" s="4"/>
      <c r="O106" s="4"/>
      <c r="P106" s="4"/>
      <c r="Q106" s="4"/>
      <c r="R106" s="4"/>
      <c r="S106" s="4"/>
      <c r="T106" s="4"/>
      <c r="U106" s="4"/>
      <c r="V106" s="4"/>
      <c r="AL106" s="49">
        <v>45900</v>
      </c>
      <c r="AM106">
        <v>0.38</v>
      </c>
      <c r="AN106" s="60"/>
    </row>
    <row r="107" spans="13:40">
      <c r="M107" s="4"/>
      <c r="N107" s="4"/>
      <c r="O107" s="4"/>
      <c r="P107" s="4"/>
      <c r="Q107" s="4"/>
      <c r="R107" s="4"/>
      <c r="S107" s="4"/>
      <c r="T107" s="4"/>
      <c r="U107" s="4"/>
      <c r="V107" s="4"/>
      <c r="AL107" s="49">
        <v>45930</v>
      </c>
      <c r="AM107">
        <v>0.33</v>
      </c>
      <c r="AN107" s="60"/>
    </row>
    <row r="108" spans="13:40">
      <c r="M108" s="4"/>
      <c r="N108" s="4"/>
      <c r="O108" s="4"/>
      <c r="P108" s="4"/>
      <c r="Q108" s="4"/>
      <c r="R108" s="4"/>
      <c r="S108" s="4"/>
      <c r="T108" s="4"/>
      <c r="U108" s="4"/>
      <c r="V108" s="4"/>
      <c r="AL108" s="49">
        <v>45961</v>
      </c>
      <c r="AM108">
        <v>0.37</v>
      </c>
      <c r="AN108" s="60"/>
    </row>
    <row r="109" spans="13:40">
      <c r="M109" s="4"/>
      <c r="N109" s="4"/>
      <c r="O109" s="4"/>
      <c r="P109" s="4"/>
      <c r="Q109" s="4"/>
      <c r="R109" s="4"/>
      <c r="S109" s="4"/>
      <c r="T109" s="4"/>
      <c r="U109" s="4"/>
      <c r="V109" s="4"/>
      <c r="AL109" s="49"/>
      <c r="AM109" s="3"/>
      <c r="AN109" s="60"/>
    </row>
    <row r="110" spans="13:40">
      <c r="M110" s="4"/>
      <c r="N110" s="4"/>
      <c r="O110" s="4"/>
      <c r="P110" s="4"/>
      <c r="Q110" s="4"/>
      <c r="R110" s="4"/>
      <c r="S110" s="4"/>
      <c r="T110" s="4"/>
      <c r="U110" s="4"/>
      <c r="V110" s="4"/>
      <c r="AL110" s="49"/>
      <c r="AM110" s="3"/>
      <c r="AN110" s="60"/>
    </row>
    <row r="111" spans="13:40">
      <c r="M111" s="4"/>
      <c r="N111" s="4"/>
      <c r="O111" s="4"/>
      <c r="P111" s="4"/>
      <c r="Q111" s="4"/>
      <c r="R111" s="4"/>
      <c r="S111" s="4"/>
      <c r="T111" s="4"/>
      <c r="U111" s="4"/>
      <c r="V111" s="4"/>
      <c r="AL111" s="58"/>
      <c r="AM111" s="3"/>
      <c r="AN111" s="60"/>
    </row>
    <row r="112" spans="13:40">
      <c r="M112" s="4"/>
      <c r="N112" s="4"/>
      <c r="O112" s="4"/>
      <c r="P112" s="4"/>
      <c r="Q112" s="4"/>
      <c r="R112" s="4"/>
      <c r="S112" s="4"/>
      <c r="T112" s="4"/>
      <c r="U112" s="4"/>
      <c r="V112" s="4"/>
      <c r="AL112" s="59"/>
      <c r="AM112" s="3"/>
      <c r="AN112" s="60"/>
    </row>
    <row r="113" spans="13:40">
      <c r="M113" s="4"/>
      <c r="N113" s="4"/>
      <c r="O113" s="4"/>
      <c r="P113" s="4"/>
      <c r="Q113" s="4"/>
      <c r="R113" s="4"/>
      <c r="S113" s="4"/>
      <c r="T113" s="4"/>
      <c r="U113" s="4"/>
      <c r="V113" s="4"/>
      <c r="AL113" s="59"/>
      <c r="AM113" s="3"/>
      <c r="AN113" s="60"/>
    </row>
    <row r="114" spans="13:40">
      <c r="M114" s="4"/>
      <c r="N114" s="4"/>
      <c r="O114" s="4"/>
      <c r="P114" s="4"/>
      <c r="Q114" s="4"/>
      <c r="R114" s="4"/>
      <c r="S114" s="4"/>
      <c r="T114" s="4"/>
      <c r="U114" s="4"/>
      <c r="V114" s="4"/>
      <c r="AL114" s="58"/>
      <c r="AM114" s="3"/>
      <c r="AN114" s="60"/>
    </row>
    <row r="115" spans="13:40">
      <c r="M115" s="4"/>
      <c r="N115" s="4"/>
      <c r="O115" s="4"/>
      <c r="P115" s="4"/>
      <c r="Q115" s="4"/>
      <c r="R115" s="4"/>
      <c r="S115" s="4"/>
      <c r="T115" s="4"/>
      <c r="U115" s="4"/>
      <c r="V115" s="4"/>
      <c r="AL115" s="58"/>
      <c r="AM115" s="3"/>
      <c r="AN115" s="60"/>
    </row>
    <row r="116" spans="13:40">
      <c r="M116" s="4"/>
      <c r="N116" s="4"/>
      <c r="O116" s="4"/>
      <c r="P116" s="4"/>
      <c r="Q116" s="4"/>
      <c r="R116" s="4"/>
      <c r="S116" s="4"/>
      <c r="T116" s="4"/>
      <c r="U116" s="4"/>
      <c r="V116" s="4"/>
      <c r="AL116" s="58"/>
      <c r="AM116" s="3"/>
      <c r="AN116" s="60"/>
    </row>
    <row r="117" spans="13:40">
      <c r="M117" s="4"/>
      <c r="N117" s="4"/>
      <c r="O117" s="4"/>
      <c r="P117" s="4"/>
      <c r="Q117" s="4"/>
      <c r="R117" s="4"/>
      <c r="S117" s="4"/>
      <c r="T117" s="4"/>
      <c r="U117" s="4"/>
      <c r="V117" s="4"/>
      <c r="AL117" s="59"/>
      <c r="AM117" s="3"/>
      <c r="AN117" s="60"/>
    </row>
    <row r="118" spans="13:40">
      <c r="M118" s="4"/>
      <c r="N118" s="4"/>
      <c r="O118" s="4"/>
      <c r="P118" s="4"/>
      <c r="Q118" s="4"/>
      <c r="R118" s="4"/>
      <c r="S118" s="4"/>
      <c r="T118" s="4"/>
      <c r="U118" s="4"/>
      <c r="V118" s="4"/>
      <c r="AL118" s="58"/>
      <c r="AM118" s="3"/>
      <c r="AN118" s="60"/>
    </row>
    <row r="119" spans="13:40">
      <c r="M119" s="4"/>
      <c r="N119" s="4"/>
      <c r="O119" s="4"/>
      <c r="P119" s="4"/>
      <c r="Q119" s="4"/>
      <c r="R119" s="4"/>
      <c r="S119" s="4"/>
      <c r="T119" s="4"/>
      <c r="U119" s="4"/>
      <c r="V119" s="4"/>
      <c r="AL119" s="58"/>
      <c r="AM119" s="3"/>
      <c r="AN119" s="60"/>
    </row>
    <row r="120" spans="13:40">
      <c r="M120" s="4"/>
      <c r="N120" s="4"/>
      <c r="O120" s="4"/>
      <c r="P120" s="4"/>
      <c r="Q120" s="4"/>
      <c r="R120" s="4"/>
      <c r="S120" s="4"/>
      <c r="T120" s="4"/>
      <c r="U120" s="4"/>
      <c r="V120" s="4"/>
      <c r="AL120" s="58"/>
      <c r="AM120" s="3"/>
      <c r="AN120" s="60"/>
    </row>
    <row r="121" spans="13:40">
      <c r="M121" s="4"/>
      <c r="N121" s="4"/>
      <c r="O121" s="4"/>
      <c r="P121" s="4"/>
      <c r="Q121" s="4"/>
      <c r="R121" s="4"/>
      <c r="S121" s="4"/>
      <c r="T121" s="4"/>
      <c r="U121" s="4"/>
      <c r="V121" s="4"/>
      <c r="AL121" s="59"/>
      <c r="AM121" s="3"/>
      <c r="AN121" s="60"/>
    </row>
    <row r="122" spans="13:40">
      <c r="M122" s="4"/>
      <c r="N122" s="4"/>
      <c r="O122" s="4"/>
      <c r="P122" s="4"/>
      <c r="Q122" s="4"/>
      <c r="R122" s="4"/>
      <c r="S122" s="4"/>
      <c r="T122" s="4"/>
      <c r="U122" s="4"/>
      <c r="V122" s="4"/>
      <c r="AL122" s="59"/>
      <c r="AM122" s="3"/>
      <c r="AN122" s="60"/>
    </row>
    <row r="123" spans="13:40">
      <c r="M123" s="4"/>
      <c r="N123" s="4"/>
      <c r="O123" s="4"/>
      <c r="P123" s="4"/>
      <c r="Q123" s="4"/>
      <c r="R123" s="4"/>
      <c r="S123" s="4"/>
      <c r="T123" s="4"/>
      <c r="U123" s="4"/>
      <c r="V123" s="4"/>
      <c r="AL123" s="58"/>
      <c r="AM123" s="3"/>
      <c r="AN123" s="60"/>
    </row>
    <row r="124" spans="13:40">
      <c r="M124" s="4"/>
      <c r="N124" s="4"/>
      <c r="O124" s="4"/>
      <c r="P124" s="4"/>
      <c r="Q124" s="4"/>
      <c r="R124" s="4"/>
      <c r="S124" s="4"/>
      <c r="T124" s="4"/>
      <c r="U124" s="4"/>
      <c r="V124" s="4"/>
      <c r="AL124" s="58"/>
      <c r="AM124" s="3"/>
      <c r="AN124" s="60"/>
    </row>
    <row r="125" spans="13:40">
      <c r="M125" s="4"/>
      <c r="N125" s="4"/>
      <c r="O125" s="4"/>
      <c r="P125" s="4"/>
      <c r="Q125" s="4"/>
      <c r="R125" s="4"/>
      <c r="S125" s="4"/>
      <c r="T125" s="4"/>
      <c r="U125" s="4"/>
      <c r="V125" s="4"/>
      <c r="AL125" s="59"/>
      <c r="AM125" s="3"/>
      <c r="AN125" s="60"/>
    </row>
    <row r="126" spans="13:40">
      <c r="M126" s="4"/>
      <c r="N126" s="4"/>
      <c r="O126" s="4"/>
      <c r="P126" s="4"/>
      <c r="Q126" s="4"/>
      <c r="R126" s="4"/>
      <c r="S126" s="4"/>
      <c r="T126" s="4"/>
      <c r="U126" s="4"/>
      <c r="V126" s="4"/>
      <c r="AL126" s="59"/>
      <c r="AM126" s="3"/>
      <c r="AN126" s="60"/>
    </row>
    <row r="127" spans="13:40">
      <c r="M127" s="4"/>
      <c r="N127" s="4"/>
      <c r="O127" s="4"/>
      <c r="P127" s="4"/>
      <c r="Q127" s="4"/>
      <c r="R127" s="4"/>
      <c r="S127" s="4"/>
      <c r="T127" s="4"/>
      <c r="U127" s="4"/>
      <c r="V127" s="4"/>
      <c r="AL127" s="58"/>
      <c r="AM127" s="3"/>
      <c r="AN127" s="60"/>
    </row>
    <row r="128" spans="13:40">
      <c r="M128" s="4"/>
      <c r="N128" s="4"/>
      <c r="O128" s="4"/>
      <c r="P128" s="4"/>
      <c r="Q128" s="4"/>
      <c r="R128" s="4"/>
      <c r="S128" s="4"/>
      <c r="T128" s="4"/>
      <c r="U128" s="4"/>
      <c r="V128" s="4"/>
      <c r="AL128" s="58"/>
      <c r="AM128" s="3"/>
      <c r="AN128" s="60"/>
    </row>
    <row r="129" spans="13:40">
      <c r="M129" s="4"/>
      <c r="N129" s="4"/>
      <c r="O129" s="4"/>
      <c r="P129" s="4"/>
      <c r="Q129" s="4"/>
      <c r="R129" s="4"/>
      <c r="S129" s="4"/>
      <c r="T129" s="4"/>
      <c r="U129" s="4"/>
      <c r="V129" s="4"/>
      <c r="AL129" s="58"/>
      <c r="AM129" s="3"/>
      <c r="AN129" s="60"/>
    </row>
    <row r="130" spans="13:40">
      <c r="M130" s="4"/>
      <c r="N130" s="4"/>
      <c r="O130" s="4"/>
      <c r="P130" s="4"/>
      <c r="Q130" s="4"/>
      <c r="R130" s="4"/>
      <c r="S130" s="4"/>
      <c r="T130" s="4"/>
      <c r="U130" s="4"/>
      <c r="V130" s="4"/>
      <c r="AL130" s="59"/>
      <c r="AM130" s="3"/>
      <c r="AN130" s="60"/>
    </row>
    <row r="131" spans="13:40">
      <c r="M131" s="4"/>
      <c r="N131" s="4"/>
      <c r="O131" s="4"/>
      <c r="P131" s="4"/>
      <c r="Q131" s="4"/>
      <c r="R131" s="4"/>
      <c r="S131" s="4"/>
      <c r="T131" s="4"/>
      <c r="U131" s="4"/>
      <c r="V131" s="4"/>
      <c r="AL131" s="59"/>
      <c r="AM131" s="3"/>
      <c r="AN131" s="60"/>
    </row>
    <row r="132" spans="13:40">
      <c r="M132" s="4"/>
      <c r="N132" s="4"/>
      <c r="O132" s="4"/>
      <c r="P132" s="4"/>
      <c r="Q132" s="4"/>
      <c r="R132" s="4"/>
      <c r="S132" s="4"/>
      <c r="T132" s="4"/>
      <c r="U132" s="4"/>
      <c r="V132" s="4"/>
      <c r="AL132" s="58"/>
      <c r="AM132" s="3"/>
      <c r="AN132" s="60"/>
    </row>
    <row r="133" spans="13:40">
      <c r="M133" s="4"/>
      <c r="N133" s="4"/>
      <c r="O133" s="4"/>
      <c r="P133" s="4"/>
      <c r="Q133" s="4"/>
      <c r="R133" s="4"/>
      <c r="S133" s="4"/>
      <c r="T133" s="4"/>
      <c r="U133" s="4"/>
      <c r="V133" s="4"/>
      <c r="AL133" s="58"/>
      <c r="AM133" s="3"/>
      <c r="AN133" s="60"/>
    </row>
    <row r="134" spans="13:40">
      <c r="M134" s="4"/>
      <c r="N134" s="4"/>
      <c r="O134" s="4"/>
      <c r="P134" s="4"/>
      <c r="Q134" s="4"/>
      <c r="R134" s="4"/>
      <c r="S134" s="4"/>
      <c r="T134" s="4"/>
      <c r="U134" s="4"/>
      <c r="V134" s="4"/>
      <c r="AL134" s="59"/>
      <c r="AM134" s="3"/>
      <c r="AN134" s="60"/>
    </row>
    <row r="135" spans="13:40">
      <c r="M135" s="4"/>
      <c r="N135" s="4"/>
      <c r="O135" s="4"/>
      <c r="P135" s="4"/>
      <c r="Q135" s="4"/>
      <c r="R135" s="4"/>
      <c r="S135" s="4"/>
      <c r="T135" s="4"/>
      <c r="U135" s="4"/>
      <c r="V135" s="4"/>
      <c r="AL135" s="59"/>
      <c r="AM135" s="3"/>
      <c r="AN135" s="60"/>
    </row>
    <row r="136" spans="13:40">
      <c r="M136" s="4"/>
      <c r="N136" s="4"/>
      <c r="O136" s="4"/>
      <c r="P136" s="4"/>
      <c r="Q136" s="4"/>
      <c r="R136" s="4"/>
      <c r="S136" s="4"/>
      <c r="T136" s="4"/>
      <c r="U136" s="4"/>
      <c r="V136" s="4"/>
      <c r="AL136" s="58"/>
      <c r="AM136" s="3"/>
      <c r="AN136" s="60"/>
    </row>
    <row r="137" spans="13:40">
      <c r="M137" s="4"/>
      <c r="N137" s="4"/>
      <c r="O137" s="4"/>
      <c r="P137" s="4"/>
      <c r="Q137" s="4"/>
      <c r="R137" s="4"/>
      <c r="S137" s="4"/>
      <c r="T137" s="4"/>
      <c r="U137" s="4"/>
      <c r="V137" s="4"/>
      <c r="AL137" s="58"/>
      <c r="AM137" s="3"/>
      <c r="AN137" s="60"/>
    </row>
    <row r="138" spans="13:40">
      <c r="M138" s="4"/>
      <c r="N138" s="4"/>
      <c r="O138" s="4"/>
      <c r="P138" s="4"/>
      <c r="Q138" s="4"/>
      <c r="R138" s="4"/>
      <c r="S138" s="4"/>
      <c r="T138" s="4"/>
      <c r="U138" s="4"/>
      <c r="V138" s="4"/>
      <c r="AL138" s="58"/>
      <c r="AM138" s="3"/>
      <c r="AN138" s="60"/>
    </row>
    <row r="139" spans="13:40">
      <c r="M139" s="4"/>
      <c r="N139" s="4"/>
      <c r="O139" s="4"/>
      <c r="P139" s="4"/>
      <c r="Q139" s="4"/>
      <c r="R139" s="4"/>
      <c r="S139" s="4"/>
      <c r="T139" s="4"/>
      <c r="U139" s="4"/>
      <c r="V139" s="4"/>
      <c r="AL139" s="59"/>
      <c r="AM139" s="3"/>
      <c r="AN139" s="60"/>
    </row>
    <row r="140" spans="13:40">
      <c r="M140" s="4"/>
      <c r="N140" s="4"/>
      <c r="O140" s="4"/>
      <c r="P140" s="4"/>
      <c r="Q140" s="4"/>
      <c r="R140" s="4"/>
      <c r="S140" s="4"/>
      <c r="T140" s="4"/>
      <c r="U140" s="4"/>
      <c r="V140" s="4"/>
      <c r="AL140" s="58"/>
      <c r="AM140" s="3"/>
      <c r="AN140" s="60"/>
    </row>
    <row r="141" spans="13:40">
      <c r="M141" s="4"/>
      <c r="N141" s="4"/>
      <c r="O141" s="4"/>
      <c r="P141" s="4"/>
      <c r="Q141" s="4"/>
      <c r="R141" s="4"/>
      <c r="S141" s="4"/>
      <c r="T141" s="4"/>
      <c r="U141" s="4"/>
      <c r="V141" s="4"/>
      <c r="AL141" s="58"/>
      <c r="AM141" s="3"/>
      <c r="AN141" s="60"/>
    </row>
    <row r="142" spans="13:40">
      <c r="M142" s="4"/>
      <c r="N142" s="4"/>
      <c r="O142" s="4"/>
      <c r="P142" s="4"/>
      <c r="Q142" s="4"/>
      <c r="R142" s="4"/>
      <c r="S142" s="4"/>
      <c r="T142" s="4"/>
      <c r="U142" s="4"/>
      <c r="V142" s="4"/>
      <c r="AL142" s="58"/>
      <c r="AM142" s="3"/>
      <c r="AN142" s="60"/>
    </row>
    <row r="143" spans="13:40">
      <c r="M143" s="4"/>
      <c r="N143" s="4"/>
      <c r="O143" s="4"/>
      <c r="P143" s="4"/>
      <c r="Q143" s="4"/>
      <c r="R143" s="4"/>
      <c r="S143" s="4"/>
      <c r="T143" s="4"/>
      <c r="U143" s="4"/>
      <c r="V143" s="4"/>
      <c r="AL143" s="59"/>
      <c r="AM143" s="3"/>
      <c r="AN143" s="60"/>
    </row>
    <row r="144" spans="13:40">
      <c r="M144" s="4"/>
      <c r="N144" s="4"/>
      <c r="O144" s="4"/>
      <c r="P144" s="4"/>
      <c r="Q144" s="4"/>
      <c r="R144" s="4"/>
      <c r="S144" s="4"/>
      <c r="T144" s="4"/>
      <c r="U144" s="4"/>
      <c r="V144" s="4"/>
      <c r="AL144" s="59"/>
      <c r="AM144" s="3"/>
      <c r="AN144" s="60"/>
    </row>
    <row r="145" spans="13:40">
      <c r="M145" s="4"/>
      <c r="N145" s="4"/>
      <c r="O145" s="4"/>
      <c r="P145" s="4"/>
      <c r="Q145" s="4"/>
      <c r="R145" s="4"/>
      <c r="S145" s="4"/>
      <c r="T145" s="4"/>
      <c r="U145" s="4"/>
      <c r="V145" s="4"/>
      <c r="AL145" s="58"/>
      <c r="AM145" s="3"/>
      <c r="AN145" s="60"/>
    </row>
    <row r="146" spans="13:40">
      <c r="M146" s="4"/>
      <c r="N146" s="4"/>
      <c r="O146" s="4"/>
      <c r="P146" s="4"/>
      <c r="Q146" s="4"/>
      <c r="R146" s="4"/>
      <c r="S146" s="4"/>
      <c r="T146" s="4"/>
      <c r="U146" s="4"/>
      <c r="V146" s="4"/>
      <c r="AL146" s="58"/>
      <c r="AM146" s="3"/>
      <c r="AN146" s="60"/>
    </row>
    <row r="147" spans="13:40">
      <c r="M147" s="4"/>
      <c r="N147" s="4"/>
      <c r="O147" s="4"/>
      <c r="P147" s="4"/>
      <c r="Q147" s="4"/>
      <c r="R147" s="4"/>
      <c r="S147" s="4"/>
      <c r="T147" s="4"/>
      <c r="U147" s="4"/>
      <c r="V147" s="4"/>
      <c r="AL147" s="59"/>
      <c r="AM147" s="3"/>
      <c r="AN147" s="60"/>
    </row>
    <row r="148" spans="13:40">
      <c r="M148" s="4"/>
      <c r="N148" s="4"/>
      <c r="O148" s="4"/>
      <c r="P148" s="4"/>
      <c r="Q148" s="4"/>
      <c r="R148" s="4"/>
      <c r="S148" s="4"/>
      <c r="T148" s="4"/>
      <c r="U148" s="4"/>
      <c r="V148" s="4"/>
      <c r="AL148" s="59"/>
      <c r="AM148" s="3"/>
      <c r="AN148" s="60"/>
    </row>
    <row r="149" spans="13:40">
      <c r="M149" s="4"/>
      <c r="N149" s="4"/>
      <c r="O149" s="4"/>
      <c r="P149" s="4"/>
      <c r="Q149" s="4"/>
      <c r="R149" s="4"/>
      <c r="S149" s="4"/>
      <c r="T149" s="4"/>
      <c r="U149" s="4"/>
      <c r="V149" s="4"/>
      <c r="AL149" s="58"/>
      <c r="AM149" s="3"/>
      <c r="AN149" s="60"/>
    </row>
    <row r="150" spans="13:40">
      <c r="M150" s="4"/>
      <c r="N150" s="4"/>
      <c r="O150" s="4"/>
      <c r="P150" s="4"/>
      <c r="Q150" s="4"/>
      <c r="R150" s="4"/>
      <c r="S150" s="4"/>
      <c r="T150" s="4"/>
      <c r="U150" s="4"/>
      <c r="V150" s="4"/>
      <c r="AL150" s="58"/>
      <c r="AM150" s="3"/>
      <c r="AN150" s="60"/>
    </row>
    <row r="151" spans="13:40">
      <c r="M151" s="4"/>
      <c r="N151" s="4"/>
      <c r="O151" s="4"/>
      <c r="P151" s="4"/>
      <c r="Q151" s="4"/>
      <c r="R151" s="4"/>
      <c r="S151" s="4"/>
      <c r="T151" s="4"/>
      <c r="U151" s="4"/>
      <c r="V151" s="4"/>
      <c r="AL151" s="58"/>
      <c r="AM151" s="3"/>
      <c r="AN151" s="60"/>
    </row>
    <row r="152" spans="13:40">
      <c r="M152" s="4"/>
      <c r="N152" s="4"/>
      <c r="O152" s="4"/>
      <c r="P152" s="4"/>
      <c r="Q152" s="4"/>
      <c r="R152" s="4"/>
      <c r="S152" s="4"/>
      <c r="T152" s="4"/>
      <c r="U152" s="4"/>
      <c r="V152" s="4"/>
      <c r="AL152" s="59"/>
      <c r="AM152" s="3"/>
      <c r="AN152" s="60"/>
    </row>
    <row r="153" spans="13:40">
      <c r="M153" s="4"/>
      <c r="N153" s="4"/>
      <c r="O153" s="4"/>
      <c r="P153" s="4"/>
      <c r="Q153" s="4"/>
      <c r="R153" s="4"/>
      <c r="S153" s="4"/>
      <c r="T153" s="4"/>
      <c r="U153" s="4"/>
      <c r="V153" s="4"/>
      <c r="AL153" s="58"/>
      <c r="AM153" s="3"/>
      <c r="AN153" s="60"/>
    </row>
    <row r="154" spans="13:40">
      <c r="M154" s="4"/>
      <c r="N154" s="4"/>
      <c r="O154" s="4"/>
      <c r="P154" s="4"/>
      <c r="Q154" s="4"/>
      <c r="R154" s="4"/>
      <c r="S154" s="4"/>
      <c r="T154" s="4"/>
      <c r="U154" s="4"/>
      <c r="V154" s="4"/>
      <c r="AL154" s="58"/>
      <c r="AM154" s="3"/>
      <c r="AN154" s="60"/>
    </row>
    <row r="155" spans="13:40">
      <c r="M155" s="4"/>
      <c r="N155" s="4"/>
      <c r="O155" s="4"/>
      <c r="P155" s="4"/>
      <c r="Q155" s="4"/>
      <c r="R155" s="4"/>
      <c r="S155" s="4"/>
      <c r="T155" s="4"/>
      <c r="U155" s="4"/>
      <c r="V155" s="4"/>
      <c r="AL155" s="58"/>
      <c r="AM155" s="3"/>
      <c r="AN155" s="60"/>
    </row>
    <row r="156" spans="13:40">
      <c r="M156" s="4"/>
      <c r="N156" s="4"/>
      <c r="O156" s="4"/>
      <c r="P156" s="4"/>
      <c r="Q156" s="4"/>
      <c r="R156" s="4"/>
      <c r="S156" s="4"/>
      <c r="T156" s="4"/>
      <c r="U156" s="4"/>
      <c r="V156" s="4"/>
      <c r="AL156" s="59"/>
      <c r="AM156" s="3"/>
      <c r="AN156" s="60"/>
    </row>
    <row r="157" spans="13:40">
      <c r="M157" s="4"/>
      <c r="N157" s="4"/>
      <c r="O157" s="4"/>
      <c r="P157" s="4"/>
      <c r="Q157" s="4"/>
      <c r="R157" s="4"/>
      <c r="S157" s="4"/>
      <c r="T157" s="4"/>
      <c r="U157" s="4"/>
      <c r="V157" s="4"/>
      <c r="AL157" s="59"/>
      <c r="AM157" s="3"/>
      <c r="AN157" s="60"/>
    </row>
    <row r="158" spans="13:40">
      <c r="M158" s="4"/>
      <c r="N158" s="4"/>
      <c r="O158" s="4"/>
      <c r="P158" s="4"/>
      <c r="Q158" s="4"/>
      <c r="R158" s="4"/>
      <c r="S158" s="4"/>
      <c r="T158" s="4"/>
      <c r="U158" s="4"/>
      <c r="V158" s="4"/>
      <c r="AL158" s="58"/>
      <c r="AM158" s="3"/>
      <c r="AN158" s="60"/>
    </row>
    <row r="159" spans="13:40">
      <c r="M159" s="4"/>
      <c r="N159" s="4"/>
      <c r="O159" s="4"/>
      <c r="P159" s="4"/>
      <c r="Q159" s="4"/>
      <c r="R159" s="4"/>
      <c r="S159" s="4"/>
      <c r="T159" s="4"/>
      <c r="U159" s="4"/>
      <c r="V159" s="4"/>
      <c r="AL159" s="58"/>
      <c r="AM159" s="3"/>
      <c r="AN159" s="60"/>
    </row>
    <row r="160" spans="13:40">
      <c r="M160" s="4"/>
      <c r="N160" s="4"/>
      <c r="O160" s="4"/>
      <c r="P160" s="4"/>
      <c r="Q160" s="4"/>
      <c r="R160" s="4"/>
      <c r="S160" s="4"/>
      <c r="T160" s="4"/>
      <c r="U160" s="4"/>
      <c r="V160" s="4"/>
      <c r="AL160" s="59"/>
      <c r="AM160" s="3"/>
      <c r="AN160" s="60"/>
    </row>
    <row r="161" spans="13:40">
      <c r="M161" s="4"/>
      <c r="N161" s="4"/>
      <c r="O161" s="4"/>
      <c r="P161" s="4"/>
      <c r="Q161" s="4"/>
      <c r="R161" s="4"/>
      <c r="S161" s="4"/>
      <c r="T161" s="4"/>
      <c r="U161" s="4"/>
      <c r="V161" s="4"/>
      <c r="AL161" s="59"/>
      <c r="AM161" s="3"/>
      <c r="AN161" s="60"/>
    </row>
    <row r="162" spans="13:40">
      <c r="M162" s="4"/>
      <c r="N162" s="4"/>
      <c r="O162" s="4"/>
      <c r="P162" s="4"/>
      <c r="Q162" s="4"/>
      <c r="R162" s="4"/>
      <c r="S162" s="4"/>
      <c r="T162" s="4"/>
      <c r="U162" s="4"/>
      <c r="V162" s="4"/>
      <c r="AL162" s="58"/>
      <c r="AM162" s="3"/>
      <c r="AN162" s="60"/>
    </row>
    <row r="163" spans="13:40">
      <c r="M163" s="4"/>
      <c r="N163" s="4"/>
      <c r="O163" s="4"/>
      <c r="P163" s="4"/>
      <c r="Q163" s="4"/>
      <c r="R163" s="4"/>
      <c r="S163" s="4"/>
      <c r="T163" s="4"/>
      <c r="U163" s="4"/>
      <c r="V163" s="4"/>
      <c r="AL163" s="58"/>
      <c r="AM163" s="3"/>
      <c r="AN163" s="60"/>
    </row>
    <row r="164" spans="13:40">
      <c r="M164" s="4"/>
      <c r="N164" s="4"/>
      <c r="O164" s="4"/>
      <c r="P164" s="4"/>
      <c r="Q164" s="4"/>
      <c r="R164" s="4"/>
      <c r="S164" s="4"/>
      <c r="T164" s="4"/>
      <c r="U164" s="4"/>
      <c r="V164" s="4"/>
      <c r="AL164" s="59"/>
      <c r="AM164" s="3"/>
      <c r="AN164" s="60"/>
    </row>
    <row r="165" spans="13:40">
      <c r="M165" s="4"/>
      <c r="N165" s="4"/>
      <c r="O165" s="4"/>
      <c r="P165" s="4"/>
      <c r="Q165" s="4"/>
      <c r="R165" s="4"/>
      <c r="S165" s="4"/>
      <c r="T165" s="4"/>
      <c r="U165" s="4"/>
      <c r="V165" s="4"/>
      <c r="AL165" s="59"/>
      <c r="AM165" s="3"/>
      <c r="AN165" s="60"/>
    </row>
    <row r="166" spans="13:40">
      <c r="M166" s="4"/>
      <c r="N166" s="4"/>
      <c r="O166" s="4"/>
      <c r="P166" s="4"/>
      <c r="Q166" s="4"/>
      <c r="R166" s="4"/>
      <c r="S166" s="4"/>
      <c r="T166" s="4"/>
      <c r="U166" s="4"/>
      <c r="V166" s="4"/>
      <c r="AL166" s="58"/>
      <c r="AM166" s="3"/>
      <c r="AN166" s="60"/>
    </row>
    <row r="167" spans="13:40">
      <c r="M167" s="4"/>
      <c r="N167" s="4"/>
      <c r="O167" s="4"/>
      <c r="P167" s="4"/>
      <c r="Q167" s="4"/>
      <c r="R167" s="4"/>
      <c r="S167" s="4"/>
      <c r="T167" s="4"/>
      <c r="U167" s="4"/>
      <c r="V167" s="4"/>
      <c r="AL167" s="58"/>
      <c r="AM167" s="3"/>
      <c r="AN167" s="60"/>
    </row>
    <row r="168" spans="13:40">
      <c r="M168" s="4"/>
      <c r="N168" s="4"/>
      <c r="O168" s="4"/>
      <c r="P168" s="4"/>
      <c r="Q168" s="4"/>
      <c r="R168" s="4"/>
      <c r="S168" s="4"/>
      <c r="T168" s="4"/>
      <c r="U168" s="4"/>
      <c r="V168" s="4"/>
      <c r="AL168" s="58"/>
      <c r="AM168" s="3"/>
      <c r="AN168" s="60"/>
    </row>
    <row r="169" spans="13:40">
      <c r="M169" s="4"/>
      <c r="N169" s="4"/>
      <c r="O169" s="4"/>
      <c r="P169" s="4"/>
      <c r="Q169" s="4"/>
      <c r="R169" s="4"/>
      <c r="S169" s="4"/>
      <c r="T169" s="4"/>
      <c r="U169" s="4"/>
      <c r="V169" s="4"/>
      <c r="AL169" s="59"/>
      <c r="AM169" s="3"/>
      <c r="AN169" s="60"/>
    </row>
    <row r="170" spans="13:40">
      <c r="M170" s="4"/>
      <c r="N170" s="4"/>
      <c r="O170" s="4"/>
      <c r="P170" s="4"/>
      <c r="Q170" s="4"/>
      <c r="R170" s="4"/>
      <c r="S170" s="4"/>
      <c r="T170" s="4"/>
      <c r="U170" s="4"/>
      <c r="V170" s="4"/>
      <c r="AL170" s="59"/>
      <c r="AM170" s="3"/>
      <c r="AN170" s="60"/>
    </row>
    <row r="171" spans="13:40">
      <c r="M171" s="4"/>
      <c r="N171" s="4"/>
      <c r="O171" s="4"/>
      <c r="P171" s="4"/>
      <c r="Q171" s="4"/>
      <c r="R171" s="4"/>
      <c r="S171" s="4"/>
      <c r="T171" s="4"/>
      <c r="U171" s="4"/>
      <c r="V171" s="4"/>
      <c r="AL171" s="58"/>
      <c r="AM171" s="3"/>
      <c r="AN171" s="60"/>
    </row>
    <row r="172" spans="13:40">
      <c r="M172" s="4"/>
      <c r="N172" s="4"/>
      <c r="O172" s="4"/>
      <c r="P172" s="4"/>
      <c r="Q172" s="4"/>
      <c r="R172" s="4"/>
      <c r="S172" s="4"/>
      <c r="T172" s="4"/>
      <c r="U172" s="4"/>
      <c r="V172" s="4"/>
      <c r="AL172" s="58"/>
      <c r="AM172" s="3"/>
      <c r="AN172" s="60"/>
    </row>
    <row r="173" spans="13:40">
      <c r="M173" s="4"/>
      <c r="N173" s="4"/>
      <c r="O173" s="4"/>
      <c r="P173" s="4"/>
      <c r="Q173" s="4"/>
      <c r="R173" s="4"/>
      <c r="S173" s="4"/>
      <c r="T173" s="4"/>
      <c r="U173" s="4"/>
      <c r="V173" s="4"/>
      <c r="AL173" s="59"/>
      <c r="AM173" s="3"/>
      <c r="AN173" s="60"/>
    </row>
    <row r="174" spans="13:40">
      <c r="M174" s="4"/>
      <c r="N174" s="4"/>
      <c r="O174" s="4"/>
      <c r="P174" s="4"/>
      <c r="Q174" s="4"/>
      <c r="R174" s="4"/>
      <c r="S174" s="4"/>
      <c r="T174" s="4"/>
      <c r="U174" s="4"/>
      <c r="V174" s="4"/>
      <c r="AL174" s="59"/>
      <c r="AM174" s="3"/>
      <c r="AN174" s="60"/>
    </row>
    <row r="175" spans="13:40">
      <c r="M175" s="4"/>
      <c r="N175" s="4"/>
      <c r="O175" s="4"/>
      <c r="P175" s="4"/>
      <c r="Q175" s="4"/>
      <c r="R175" s="4"/>
      <c r="S175" s="4"/>
      <c r="T175" s="4"/>
      <c r="U175" s="4"/>
      <c r="V175" s="4"/>
      <c r="AL175" s="58"/>
      <c r="AM175" s="3"/>
      <c r="AN175" s="60"/>
    </row>
    <row r="176" spans="13:40">
      <c r="M176" s="4"/>
      <c r="N176" s="4"/>
      <c r="O176" s="4"/>
      <c r="P176" s="4"/>
      <c r="Q176" s="4"/>
      <c r="R176" s="4"/>
      <c r="S176" s="4"/>
      <c r="T176" s="4"/>
      <c r="U176" s="4"/>
      <c r="V176" s="4"/>
      <c r="AL176" s="58"/>
      <c r="AM176" s="3"/>
      <c r="AN176" s="60"/>
    </row>
    <row r="177" spans="13:40">
      <c r="M177" s="4"/>
      <c r="N177" s="4"/>
      <c r="O177" s="4"/>
      <c r="P177" s="4"/>
      <c r="Q177" s="4"/>
      <c r="R177" s="4"/>
      <c r="S177" s="4"/>
      <c r="T177" s="4"/>
      <c r="U177" s="4"/>
      <c r="V177" s="4"/>
      <c r="AL177" s="58"/>
      <c r="AM177" s="3"/>
      <c r="AN177" s="60"/>
    </row>
    <row r="178" spans="13:40">
      <c r="M178" s="4"/>
      <c r="N178" s="4"/>
      <c r="O178" s="4"/>
      <c r="P178" s="4"/>
      <c r="Q178" s="4"/>
      <c r="R178" s="4"/>
      <c r="S178" s="4"/>
      <c r="T178" s="4"/>
      <c r="U178" s="4"/>
      <c r="V178" s="4"/>
      <c r="AL178" s="59"/>
      <c r="AM178" s="3"/>
      <c r="AN178" s="60"/>
    </row>
    <row r="179" spans="13:40">
      <c r="M179" s="4"/>
      <c r="N179" s="4"/>
      <c r="O179" s="4"/>
      <c r="P179" s="4"/>
      <c r="Q179" s="4"/>
      <c r="R179" s="4"/>
      <c r="S179" s="4"/>
      <c r="T179" s="4"/>
      <c r="U179" s="4"/>
      <c r="V179" s="4"/>
      <c r="AL179" s="58"/>
      <c r="AM179" s="3"/>
      <c r="AN179" s="60"/>
    </row>
    <row r="180" spans="13:40">
      <c r="M180" s="4"/>
      <c r="N180" s="4"/>
      <c r="O180" s="4"/>
      <c r="P180" s="4"/>
      <c r="Q180" s="4"/>
      <c r="R180" s="4"/>
      <c r="S180" s="4"/>
      <c r="T180" s="4"/>
      <c r="U180" s="4"/>
      <c r="V180" s="4"/>
      <c r="AL180" s="58"/>
      <c r="AM180" s="3"/>
      <c r="AN180" s="60"/>
    </row>
    <row r="181" spans="13:40">
      <c r="M181" s="4"/>
      <c r="N181" s="4"/>
      <c r="O181" s="4"/>
      <c r="P181" s="4"/>
      <c r="Q181" s="4"/>
      <c r="R181" s="4"/>
      <c r="S181" s="4"/>
      <c r="T181" s="4"/>
      <c r="U181" s="4"/>
      <c r="V181" s="4"/>
      <c r="AL181" s="58"/>
      <c r="AM181" s="3"/>
      <c r="AN181" s="60"/>
    </row>
    <row r="182" spans="13:40">
      <c r="M182" s="4"/>
      <c r="N182" s="4"/>
      <c r="O182" s="4"/>
      <c r="P182" s="4"/>
      <c r="Q182" s="4"/>
      <c r="R182" s="4"/>
      <c r="S182" s="4"/>
      <c r="T182" s="4"/>
      <c r="U182" s="4"/>
      <c r="V182" s="4"/>
      <c r="AL182" s="59"/>
      <c r="AM182" s="3"/>
      <c r="AN182" s="60"/>
    </row>
    <row r="183" spans="13:40">
      <c r="M183" s="4"/>
      <c r="N183" s="4"/>
      <c r="O183" s="4"/>
      <c r="P183" s="4"/>
      <c r="Q183" s="4"/>
      <c r="R183" s="4"/>
      <c r="S183" s="4"/>
      <c r="T183" s="4"/>
      <c r="U183" s="4"/>
      <c r="V183" s="4"/>
      <c r="AL183" s="59"/>
      <c r="AM183" s="3"/>
      <c r="AN183" s="60"/>
    </row>
    <row r="184" spans="13:40">
      <c r="M184" s="4"/>
      <c r="N184" s="4"/>
      <c r="O184" s="4"/>
      <c r="P184" s="4"/>
      <c r="Q184" s="4"/>
      <c r="R184" s="4"/>
      <c r="S184" s="4"/>
      <c r="T184" s="4"/>
      <c r="U184" s="4"/>
      <c r="V184" s="4"/>
      <c r="AL184" s="58"/>
      <c r="AM184" s="3"/>
      <c r="AN184" s="60"/>
    </row>
    <row r="185" spans="13:40">
      <c r="M185" s="4"/>
      <c r="N185" s="4"/>
      <c r="O185" s="4"/>
      <c r="P185" s="4"/>
      <c r="Q185" s="4"/>
      <c r="R185" s="4"/>
      <c r="S185" s="4"/>
      <c r="T185" s="4"/>
      <c r="U185" s="4"/>
      <c r="V185" s="4"/>
      <c r="AL185" s="58"/>
      <c r="AM185" s="3"/>
      <c r="AN185" s="60"/>
    </row>
    <row r="186" spans="13:40">
      <c r="M186" s="4"/>
      <c r="N186" s="4"/>
      <c r="O186" s="4"/>
      <c r="P186" s="4"/>
      <c r="Q186" s="4"/>
      <c r="R186" s="4"/>
      <c r="S186" s="4"/>
      <c r="T186" s="4"/>
      <c r="U186" s="4"/>
      <c r="V186" s="4"/>
      <c r="AL186" s="59"/>
      <c r="AM186" s="3"/>
      <c r="AN186" s="60"/>
    </row>
    <row r="187" spans="13:40">
      <c r="M187" s="4"/>
      <c r="N187" s="4"/>
      <c r="O187" s="4"/>
      <c r="P187" s="4"/>
      <c r="Q187" s="4"/>
      <c r="R187" s="4"/>
      <c r="S187" s="4"/>
      <c r="T187" s="4"/>
      <c r="U187" s="4"/>
      <c r="V187" s="4"/>
      <c r="AL187" s="59"/>
      <c r="AM187" s="3"/>
      <c r="AN187" s="60"/>
    </row>
    <row r="188" spans="13:40">
      <c r="M188" s="4"/>
      <c r="N188" s="4"/>
      <c r="O188" s="4"/>
      <c r="P188" s="4"/>
      <c r="Q188" s="4"/>
      <c r="R188" s="4"/>
      <c r="S188" s="4"/>
      <c r="T188" s="4"/>
      <c r="U188" s="4"/>
      <c r="V188" s="4"/>
      <c r="AL188" s="58"/>
      <c r="AM188" s="3"/>
      <c r="AN188" s="60"/>
    </row>
    <row r="189" spans="13:40">
      <c r="M189" s="4"/>
      <c r="N189" s="4"/>
      <c r="O189" s="4"/>
      <c r="P189" s="4"/>
      <c r="Q189" s="4"/>
      <c r="R189" s="4"/>
      <c r="S189" s="4"/>
      <c r="T189" s="4"/>
      <c r="U189" s="4"/>
      <c r="V189" s="4"/>
      <c r="AL189" s="58"/>
      <c r="AM189" s="3"/>
      <c r="AN189" s="60"/>
    </row>
    <row r="190" spans="13:40">
      <c r="M190" s="4"/>
      <c r="N190" s="4"/>
      <c r="O190" s="4"/>
      <c r="P190" s="4"/>
      <c r="Q190" s="4"/>
      <c r="R190" s="4"/>
      <c r="S190" s="4"/>
      <c r="T190" s="4"/>
      <c r="U190" s="4"/>
      <c r="V190" s="4"/>
      <c r="AL190" s="58"/>
      <c r="AM190" s="3"/>
      <c r="AN190" s="60"/>
    </row>
    <row r="191" spans="13:40">
      <c r="M191" s="4"/>
      <c r="N191" s="4"/>
      <c r="O191" s="4"/>
      <c r="P191" s="4"/>
      <c r="Q191" s="4"/>
      <c r="R191" s="4"/>
      <c r="S191" s="4"/>
      <c r="T191" s="4"/>
      <c r="U191" s="4"/>
      <c r="V191" s="4"/>
      <c r="AL191" s="59"/>
      <c r="AM191" s="3"/>
      <c r="AN191" s="60"/>
    </row>
    <row r="192" spans="13:40">
      <c r="M192" s="4"/>
      <c r="N192" s="4"/>
      <c r="O192" s="4"/>
      <c r="P192" s="4"/>
      <c r="Q192" s="4"/>
      <c r="R192" s="4"/>
      <c r="S192" s="4"/>
      <c r="T192" s="4"/>
      <c r="U192" s="4"/>
      <c r="V192" s="4"/>
      <c r="AL192" s="58"/>
      <c r="AM192" s="3"/>
      <c r="AN192" s="60"/>
    </row>
    <row r="193" spans="13:40">
      <c r="M193" s="4"/>
      <c r="N193" s="4"/>
      <c r="O193" s="4"/>
      <c r="P193" s="4"/>
      <c r="Q193" s="4"/>
      <c r="R193" s="4"/>
      <c r="S193" s="4"/>
      <c r="T193" s="4"/>
      <c r="U193" s="4"/>
      <c r="V193" s="4"/>
      <c r="AL193" s="58"/>
      <c r="AM193" s="3"/>
      <c r="AN193" s="60"/>
    </row>
    <row r="194" spans="13:40">
      <c r="M194" s="4"/>
      <c r="N194" s="4"/>
      <c r="O194" s="4"/>
      <c r="P194" s="4"/>
      <c r="Q194" s="4"/>
      <c r="R194" s="4"/>
      <c r="S194" s="4"/>
      <c r="T194" s="4"/>
      <c r="U194" s="4"/>
      <c r="V194" s="4"/>
      <c r="AL194" s="58"/>
      <c r="AM194" s="3"/>
      <c r="AN194" s="60"/>
    </row>
    <row r="195" spans="13:40">
      <c r="M195" s="4"/>
      <c r="N195" s="4"/>
      <c r="O195" s="4"/>
      <c r="P195" s="4"/>
      <c r="Q195" s="4"/>
      <c r="R195" s="4"/>
      <c r="S195" s="4"/>
      <c r="T195" s="4"/>
      <c r="U195" s="4"/>
      <c r="V195" s="4"/>
      <c r="AL195" s="59"/>
      <c r="AM195" s="3"/>
      <c r="AN195" s="60"/>
    </row>
    <row r="196" spans="13:40">
      <c r="M196" s="4"/>
      <c r="N196" s="4"/>
      <c r="O196" s="4"/>
      <c r="P196" s="4"/>
      <c r="Q196" s="4"/>
      <c r="R196" s="4"/>
      <c r="S196" s="4"/>
      <c r="T196" s="4"/>
      <c r="U196" s="4"/>
      <c r="V196" s="4"/>
      <c r="AL196" s="59"/>
      <c r="AM196" s="3"/>
      <c r="AN196" s="60"/>
    </row>
    <row r="197" spans="13:40">
      <c r="M197" s="4"/>
      <c r="N197" s="4"/>
      <c r="O197" s="4"/>
      <c r="P197" s="4"/>
      <c r="Q197" s="4"/>
      <c r="R197" s="4"/>
      <c r="S197" s="4"/>
      <c r="T197" s="4"/>
      <c r="U197" s="4"/>
      <c r="V197" s="4"/>
      <c r="AL197" s="58"/>
      <c r="AM197" s="3"/>
      <c r="AN197" s="60"/>
    </row>
    <row r="198" spans="13:40">
      <c r="M198" s="4"/>
      <c r="N198" s="4"/>
      <c r="O198" s="4"/>
      <c r="P198" s="4"/>
      <c r="Q198" s="4"/>
      <c r="R198" s="4"/>
      <c r="S198" s="4"/>
      <c r="T198" s="4"/>
      <c r="U198" s="4"/>
      <c r="V198" s="4"/>
      <c r="AL198" s="58"/>
      <c r="AM198" s="3"/>
      <c r="AN198" s="60"/>
    </row>
    <row r="199" spans="13:40">
      <c r="M199" s="4"/>
      <c r="N199" s="4"/>
      <c r="O199" s="4"/>
      <c r="P199" s="4"/>
      <c r="Q199" s="4"/>
      <c r="R199" s="4"/>
      <c r="S199" s="4"/>
      <c r="T199" s="4"/>
      <c r="U199" s="4"/>
      <c r="V199" s="4"/>
      <c r="AL199" s="59"/>
      <c r="AM199" s="3"/>
      <c r="AN199" s="60"/>
    </row>
    <row r="200" spans="13:40">
      <c r="M200" s="4"/>
      <c r="N200" s="4"/>
      <c r="O200" s="4"/>
      <c r="P200" s="4"/>
      <c r="Q200" s="4"/>
      <c r="R200" s="4"/>
      <c r="S200" s="4"/>
      <c r="T200" s="4"/>
      <c r="U200" s="4"/>
      <c r="V200" s="4"/>
      <c r="AL200" s="59"/>
      <c r="AM200" s="3"/>
      <c r="AN200" s="60"/>
    </row>
    <row r="201" spans="13:40">
      <c r="M201" s="4"/>
      <c r="N201" s="4"/>
      <c r="O201" s="4"/>
      <c r="P201" s="4"/>
      <c r="Q201" s="4"/>
      <c r="R201" s="4"/>
      <c r="S201" s="4"/>
      <c r="T201" s="4"/>
      <c r="U201" s="4"/>
      <c r="V201" s="4"/>
      <c r="AL201" s="58"/>
      <c r="AM201" s="3"/>
      <c r="AN201" s="60"/>
    </row>
    <row r="202" spans="13:40">
      <c r="M202" s="4"/>
      <c r="N202" s="4"/>
      <c r="O202" s="4"/>
      <c r="P202" s="4"/>
      <c r="Q202" s="4"/>
      <c r="R202" s="4"/>
      <c r="S202" s="4"/>
      <c r="T202" s="4"/>
      <c r="U202" s="4"/>
      <c r="V202" s="4"/>
      <c r="AL202" s="58"/>
      <c r="AM202" s="3"/>
      <c r="AN202" s="60"/>
    </row>
    <row r="203" spans="13:40">
      <c r="M203" s="4"/>
      <c r="N203" s="4"/>
      <c r="O203" s="4"/>
      <c r="P203" s="4"/>
      <c r="Q203" s="4"/>
      <c r="R203" s="4"/>
      <c r="S203" s="4"/>
      <c r="T203" s="4"/>
      <c r="U203" s="4"/>
      <c r="V203" s="4"/>
      <c r="AL203" s="58"/>
      <c r="AM203" s="3"/>
      <c r="AN203" s="60"/>
    </row>
    <row r="204" spans="13:40">
      <c r="M204" s="4"/>
      <c r="N204" s="4"/>
      <c r="O204" s="4"/>
      <c r="P204" s="4"/>
      <c r="Q204" s="4"/>
      <c r="R204" s="4"/>
      <c r="S204" s="4"/>
      <c r="T204" s="4"/>
      <c r="U204" s="4"/>
      <c r="V204" s="4"/>
      <c r="AL204" s="59"/>
      <c r="AM204" s="3"/>
      <c r="AN204" s="60"/>
    </row>
    <row r="205" spans="13:40">
      <c r="M205" s="4"/>
      <c r="N205" s="4"/>
      <c r="O205" s="4"/>
      <c r="P205" s="4"/>
      <c r="Q205" s="4"/>
      <c r="R205" s="4"/>
      <c r="S205" s="4"/>
      <c r="T205" s="4"/>
      <c r="U205" s="4"/>
      <c r="V205" s="4"/>
      <c r="AL205" s="59"/>
      <c r="AM205" s="3"/>
      <c r="AN205" s="60"/>
    </row>
    <row r="206" spans="13:40">
      <c r="M206" s="4"/>
      <c r="N206" s="4"/>
      <c r="O206" s="4"/>
      <c r="P206" s="4"/>
      <c r="Q206" s="4"/>
      <c r="R206" s="4"/>
      <c r="S206" s="4"/>
      <c r="T206" s="4"/>
      <c r="U206" s="4"/>
      <c r="V206" s="4"/>
      <c r="AL206" s="58"/>
      <c r="AM206" s="3"/>
      <c r="AN206" s="60"/>
    </row>
    <row r="207" spans="13:40">
      <c r="M207" s="4"/>
      <c r="N207" s="4"/>
      <c r="O207" s="4"/>
      <c r="P207" s="4"/>
      <c r="Q207" s="4"/>
      <c r="R207" s="4"/>
      <c r="S207" s="4"/>
      <c r="T207" s="4"/>
      <c r="U207" s="4"/>
      <c r="V207" s="4"/>
      <c r="AL207" s="58"/>
      <c r="AM207" s="3"/>
      <c r="AN207" s="60"/>
    </row>
    <row r="208" spans="13:40">
      <c r="M208" s="4"/>
      <c r="N208" s="4"/>
      <c r="O208" s="4"/>
      <c r="P208" s="4"/>
      <c r="Q208" s="4"/>
      <c r="R208" s="4"/>
      <c r="S208" s="4"/>
      <c r="T208" s="4"/>
      <c r="U208" s="4"/>
      <c r="V208" s="4"/>
      <c r="AL208" s="59"/>
      <c r="AM208" s="3"/>
      <c r="AN208" s="60"/>
    </row>
    <row r="209" spans="13:40">
      <c r="M209" s="4"/>
      <c r="N209" s="4"/>
      <c r="O209" s="4"/>
      <c r="P209" s="4"/>
      <c r="Q209" s="4"/>
      <c r="R209" s="4"/>
      <c r="S209" s="4"/>
      <c r="T209" s="4"/>
      <c r="U209" s="4"/>
      <c r="V209" s="4"/>
      <c r="AL209" s="59"/>
      <c r="AM209" s="3"/>
      <c r="AN209" s="60"/>
    </row>
    <row r="210" spans="13:40">
      <c r="M210" s="4"/>
      <c r="N210" s="4"/>
      <c r="O210" s="4"/>
      <c r="P210" s="4"/>
      <c r="Q210" s="4"/>
      <c r="R210" s="4"/>
      <c r="S210" s="4"/>
      <c r="T210" s="4"/>
      <c r="U210" s="4"/>
      <c r="V210" s="4"/>
      <c r="AL210" s="58"/>
      <c r="AM210" s="3"/>
      <c r="AN210" s="60"/>
    </row>
    <row r="211" spans="13:40">
      <c r="M211" s="4"/>
      <c r="N211" s="4"/>
      <c r="O211" s="4"/>
      <c r="P211" s="4"/>
      <c r="Q211" s="4"/>
      <c r="R211" s="4"/>
      <c r="S211" s="4"/>
      <c r="T211" s="4"/>
      <c r="U211" s="4"/>
      <c r="V211" s="4"/>
      <c r="AL211" s="58"/>
      <c r="AM211" s="3"/>
      <c r="AN211" s="60"/>
    </row>
    <row r="212" spans="13:40">
      <c r="M212" s="4"/>
      <c r="N212" s="4"/>
      <c r="O212" s="4"/>
      <c r="P212" s="4"/>
      <c r="Q212" s="4"/>
      <c r="R212" s="4"/>
      <c r="S212" s="4"/>
      <c r="T212" s="4"/>
      <c r="U212" s="4"/>
      <c r="V212" s="4"/>
      <c r="AL212" s="58"/>
      <c r="AM212" s="3"/>
      <c r="AN212" s="60"/>
    </row>
    <row r="213" spans="13:40">
      <c r="M213" s="4"/>
      <c r="N213" s="4"/>
      <c r="O213" s="4"/>
      <c r="P213" s="4"/>
      <c r="Q213" s="4"/>
      <c r="R213" s="4"/>
      <c r="S213" s="4"/>
      <c r="T213" s="4"/>
      <c r="U213" s="4"/>
      <c r="V213" s="4"/>
      <c r="AL213" s="59"/>
      <c r="AM213" s="3"/>
      <c r="AN213" s="60"/>
    </row>
    <row r="214" spans="13:40">
      <c r="M214" s="4"/>
      <c r="N214" s="4"/>
      <c r="O214" s="4"/>
      <c r="P214" s="4"/>
      <c r="Q214" s="4"/>
      <c r="R214" s="4"/>
      <c r="S214" s="4"/>
      <c r="T214" s="4"/>
      <c r="U214" s="4"/>
      <c r="V214" s="4"/>
      <c r="AL214" s="58"/>
      <c r="AM214" s="3"/>
      <c r="AN214" s="60"/>
    </row>
    <row r="215" spans="13:40">
      <c r="M215" s="4"/>
      <c r="N215" s="4"/>
      <c r="O215" s="4"/>
      <c r="P215" s="4"/>
      <c r="Q215" s="4"/>
      <c r="R215" s="4"/>
      <c r="S215" s="4"/>
      <c r="T215" s="4"/>
      <c r="U215" s="4"/>
      <c r="V215" s="4"/>
      <c r="AL215" s="58"/>
      <c r="AM215" s="3"/>
      <c r="AN215" s="60"/>
    </row>
    <row r="216" spans="13:40">
      <c r="M216" s="4"/>
      <c r="N216" s="4"/>
      <c r="O216" s="4"/>
      <c r="P216" s="4"/>
      <c r="Q216" s="4"/>
      <c r="R216" s="4"/>
      <c r="S216" s="4"/>
      <c r="T216" s="4"/>
      <c r="U216" s="4"/>
      <c r="V216" s="4"/>
      <c r="AL216" s="58"/>
      <c r="AM216" s="3"/>
      <c r="AN216" s="60"/>
    </row>
    <row r="217" spans="13:40">
      <c r="M217" s="4"/>
      <c r="N217" s="4"/>
      <c r="O217" s="4"/>
      <c r="P217" s="4"/>
      <c r="Q217" s="4"/>
      <c r="R217" s="4"/>
      <c r="S217" s="4"/>
      <c r="T217" s="4"/>
      <c r="U217" s="4"/>
      <c r="V217" s="4"/>
      <c r="AL217" s="59"/>
      <c r="AM217" s="3"/>
      <c r="AN217" s="60"/>
    </row>
    <row r="218" spans="13:40">
      <c r="M218" s="4"/>
      <c r="N218" s="4"/>
      <c r="O218" s="4"/>
      <c r="P218" s="4"/>
      <c r="Q218" s="4"/>
      <c r="R218" s="4"/>
      <c r="S218" s="4"/>
      <c r="T218" s="4"/>
      <c r="U218" s="4"/>
      <c r="V218" s="4"/>
      <c r="AL218" s="58"/>
      <c r="AM218" s="3"/>
      <c r="AN218" s="60"/>
    </row>
    <row r="219" spans="13:40">
      <c r="M219" s="4"/>
      <c r="N219" s="4"/>
      <c r="O219" s="4"/>
      <c r="P219" s="4"/>
      <c r="Q219" s="4"/>
      <c r="R219" s="4"/>
      <c r="S219" s="4"/>
      <c r="T219" s="4"/>
      <c r="U219" s="4"/>
      <c r="V219" s="4"/>
      <c r="AL219" s="58"/>
      <c r="AM219" s="3"/>
      <c r="AN219" s="60"/>
    </row>
    <row r="220" spans="13:40">
      <c r="M220" s="4"/>
      <c r="N220" s="4"/>
      <c r="O220" s="4"/>
      <c r="P220" s="4"/>
      <c r="Q220" s="4"/>
      <c r="R220" s="4"/>
      <c r="S220" s="4"/>
      <c r="T220" s="4"/>
      <c r="U220" s="4"/>
      <c r="V220" s="4"/>
      <c r="AL220" s="58"/>
      <c r="AM220" s="3"/>
      <c r="AN220" s="60"/>
    </row>
    <row r="221" spans="13:40">
      <c r="M221" s="4"/>
      <c r="N221" s="4"/>
      <c r="O221" s="4"/>
      <c r="P221" s="4"/>
      <c r="Q221" s="4"/>
      <c r="R221" s="4"/>
      <c r="S221" s="4"/>
      <c r="T221" s="4"/>
      <c r="U221" s="4"/>
      <c r="V221" s="4"/>
      <c r="AL221" s="59"/>
      <c r="AM221" s="3"/>
      <c r="AN221" s="60"/>
    </row>
    <row r="222" spans="13:40">
      <c r="M222" s="4"/>
      <c r="N222" s="4"/>
      <c r="O222" s="4"/>
      <c r="P222" s="4"/>
      <c r="Q222" s="4"/>
      <c r="R222" s="4"/>
      <c r="S222" s="4"/>
      <c r="T222" s="4"/>
      <c r="U222" s="4"/>
      <c r="V222" s="4"/>
      <c r="AL222" s="59"/>
      <c r="AM222" s="3"/>
      <c r="AN222" s="60"/>
    </row>
    <row r="223" spans="13:40">
      <c r="M223" s="4"/>
      <c r="N223" s="4"/>
      <c r="O223" s="4"/>
      <c r="P223" s="4"/>
      <c r="Q223" s="4"/>
      <c r="R223" s="4"/>
      <c r="S223" s="4"/>
      <c r="T223" s="4"/>
      <c r="U223" s="4"/>
      <c r="V223" s="4"/>
      <c r="AL223" s="58"/>
      <c r="AM223" s="3"/>
      <c r="AN223" s="60"/>
    </row>
    <row r="224" spans="13:40">
      <c r="M224" s="4"/>
      <c r="N224" s="4"/>
      <c r="O224" s="4"/>
      <c r="P224" s="4"/>
      <c r="Q224" s="4"/>
      <c r="R224" s="4"/>
      <c r="S224" s="4"/>
      <c r="T224" s="4"/>
      <c r="U224" s="4"/>
      <c r="V224" s="4"/>
      <c r="AL224" s="58"/>
      <c r="AM224" s="3"/>
      <c r="AN224" s="60"/>
    </row>
    <row r="225" spans="13:40">
      <c r="M225" s="4"/>
      <c r="N225" s="4"/>
      <c r="O225" s="4"/>
      <c r="P225" s="4"/>
      <c r="Q225" s="4"/>
      <c r="R225" s="4"/>
      <c r="S225" s="4"/>
      <c r="T225" s="4"/>
      <c r="U225" s="4"/>
      <c r="V225" s="4"/>
      <c r="AL225" s="59"/>
      <c r="AM225" s="3"/>
      <c r="AN225" s="60"/>
    </row>
    <row r="226" spans="13:40">
      <c r="M226" s="4"/>
      <c r="N226" s="4"/>
      <c r="O226" s="4"/>
      <c r="P226" s="4"/>
      <c r="Q226" s="4"/>
      <c r="R226" s="4"/>
      <c r="S226" s="4"/>
      <c r="T226" s="4"/>
      <c r="U226" s="4"/>
      <c r="V226" s="4"/>
      <c r="AL226" s="59"/>
      <c r="AM226" s="3"/>
      <c r="AN226" s="60"/>
    </row>
    <row r="227" spans="13:40">
      <c r="M227" s="4"/>
      <c r="N227" s="4"/>
      <c r="O227" s="4"/>
      <c r="P227" s="4"/>
      <c r="Q227" s="4"/>
      <c r="R227" s="4"/>
      <c r="S227" s="4"/>
      <c r="T227" s="4"/>
      <c r="U227" s="4"/>
      <c r="V227" s="4"/>
      <c r="AL227" s="58"/>
      <c r="AM227" s="3"/>
      <c r="AN227" s="60"/>
    </row>
    <row r="228" spans="13:40">
      <c r="M228" s="4"/>
      <c r="N228" s="4"/>
      <c r="O228" s="4"/>
      <c r="P228" s="4"/>
      <c r="Q228" s="4"/>
      <c r="R228" s="4"/>
      <c r="S228" s="4"/>
      <c r="T228" s="4"/>
      <c r="U228" s="4"/>
      <c r="V228" s="4"/>
      <c r="AL228" s="58"/>
      <c r="AM228" s="3"/>
      <c r="AN228" s="60"/>
    </row>
    <row r="229" spans="13:40">
      <c r="M229" s="4"/>
      <c r="N229" s="4"/>
      <c r="O229" s="4"/>
      <c r="P229" s="4"/>
      <c r="Q229" s="4"/>
      <c r="R229" s="4"/>
      <c r="S229" s="4"/>
      <c r="T229" s="4"/>
      <c r="U229" s="4"/>
      <c r="V229" s="4"/>
      <c r="AL229" s="58"/>
      <c r="AM229" s="3"/>
      <c r="AN229" s="60"/>
    </row>
    <row r="230" spans="13:40">
      <c r="M230" s="4"/>
      <c r="N230" s="4"/>
      <c r="O230" s="4"/>
      <c r="P230" s="4"/>
      <c r="Q230" s="4"/>
      <c r="R230" s="4"/>
      <c r="S230" s="4"/>
      <c r="T230" s="4"/>
      <c r="U230" s="4"/>
      <c r="V230" s="4"/>
      <c r="AL230" s="59"/>
      <c r="AM230" s="3"/>
      <c r="AN230" s="60"/>
    </row>
    <row r="231" spans="13:40">
      <c r="M231" s="4"/>
      <c r="N231" s="4"/>
      <c r="O231" s="4"/>
      <c r="P231" s="4"/>
      <c r="Q231" s="4"/>
      <c r="R231" s="4"/>
      <c r="S231" s="4"/>
      <c r="T231" s="4"/>
      <c r="U231" s="4"/>
      <c r="V231" s="4"/>
      <c r="AL231" s="58"/>
      <c r="AM231" s="3"/>
      <c r="AN231" s="60"/>
    </row>
    <row r="232" spans="13:40">
      <c r="M232" s="4"/>
      <c r="N232" s="4"/>
      <c r="O232" s="4"/>
      <c r="P232" s="4"/>
      <c r="Q232" s="4"/>
      <c r="R232" s="4"/>
      <c r="S232" s="4"/>
      <c r="T232" s="4"/>
      <c r="U232" s="4"/>
      <c r="V232" s="4"/>
      <c r="AL232" s="58"/>
      <c r="AM232" s="3"/>
      <c r="AN232" s="60"/>
    </row>
    <row r="233" spans="13:40">
      <c r="M233" s="4"/>
      <c r="N233" s="4"/>
      <c r="O233" s="4"/>
      <c r="P233" s="4"/>
      <c r="Q233" s="4"/>
      <c r="R233" s="4"/>
      <c r="S233" s="4"/>
      <c r="T233" s="4"/>
      <c r="U233" s="4"/>
      <c r="V233" s="4"/>
      <c r="AL233" s="58"/>
      <c r="AM233" s="3"/>
      <c r="AN233" s="60"/>
    </row>
    <row r="234" spans="13:40">
      <c r="M234" s="4"/>
      <c r="N234" s="4"/>
      <c r="O234" s="4"/>
      <c r="P234" s="4"/>
      <c r="Q234" s="4"/>
      <c r="R234" s="4"/>
      <c r="S234" s="4"/>
      <c r="T234" s="4"/>
      <c r="U234" s="4"/>
      <c r="V234" s="4"/>
      <c r="AL234" s="59"/>
      <c r="AM234" s="3"/>
      <c r="AN234" s="60"/>
    </row>
    <row r="235" spans="13:40">
      <c r="M235" s="4"/>
      <c r="N235" s="4"/>
      <c r="O235" s="4"/>
      <c r="P235" s="4"/>
      <c r="Q235" s="4"/>
      <c r="R235" s="4"/>
      <c r="S235" s="4"/>
      <c r="T235" s="4"/>
      <c r="U235" s="4"/>
      <c r="V235" s="4"/>
      <c r="AL235" s="59"/>
      <c r="AM235" s="3"/>
      <c r="AN235" s="60"/>
    </row>
    <row r="236" spans="13:40">
      <c r="M236" s="4"/>
      <c r="N236" s="4"/>
      <c r="O236" s="4"/>
      <c r="P236" s="4"/>
      <c r="Q236" s="4"/>
      <c r="R236" s="4"/>
      <c r="S236" s="4"/>
      <c r="T236" s="4"/>
      <c r="U236" s="4"/>
      <c r="V236" s="4"/>
      <c r="AL236" s="58"/>
      <c r="AM236" s="3"/>
      <c r="AN236" s="60"/>
    </row>
    <row r="237" spans="13:40">
      <c r="M237" s="4"/>
      <c r="N237" s="4"/>
      <c r="O237" s="4"/>
      <c r="P237" s="4"/>
      <c r="Q237" s="4"/>
      <c r="R237" s="4"/>
      <c r="S237" s="4"/>
      <c r="T237" s="4"/>
      <c r="U237" s="4"/>
      <c r="V237" s="4"/>
      <c r="AL237" s="58"/>
      <c r="AM237" s="3"/>
      <c r="AN237" s="60"/>
    </row>
    <row r="238" spans="13:40">
      <c r="M238" s="4"/>
      <c r="N238" s="4"/>
      <c r="O238" s="4"/>
      <c r="P238" s="4"/>
      <c r="Q238" s="4"/>
      <c r="R238" s="4"/>
      <c r="S238" s="4"/>
      <c r="T238" s="4"/>
      <c r="U238" s="4"/>
      <c r="V238" s="4"/>
      <c r="AL238" s="59"/>
      <c r="AM238" s="3"/>
      <c r="AN238" s="60"/>
    </row>
    <row r="239" spans="13:40">
      <c r="M239" s="4"/>
      <c r="N239" s="4"/>
      <c r="O239" s="4"/>
      <c r="P239" s="4"/>
      <c r="Q239" s="4"/>
      <c r="R239" s="4"/>
      <c r="S239" s="4"/>
      <c r="T239" s="4"/>
      <c r="U239" s="4"/>
      <c r="V239" s="4"/>
      <c r="AL239" s="59"/>
      <c r="AM239" s="3"/>
      <c r="AN239" s="60"/>
    </row>
    <row r="240" spans="13:40">
      <c r="M240" s="4"/>
      <c r="N240" s="4"/>
      <c r="O240" s="4"/>
      <c r="P240" s="4"/>
      <c r="Q240" s="4"/>
      <c r="R240" s="4"/>
      <c r="S240" s="4"/>
      <c r="T240" s="4"/>
      <c r="U240" s="4"/>
      <c r="V240" s="4"/>
      <c r="AL240" s="58"/>
      <c r="AM240" s="3"/>
      <c r="AN240" s="60"/>
    </row>
    <row r="241" spans="13:40">
      <c r="M241" s="4"/>
      <c r="N241" s="4"/>
      <c r="O241" s="4"/>
      <c r="P241" s="4"/>
      <c r="Q241" s="4"/>
      <c r="R241" s="4"/>
      <c r="S241" s="4"/>
      <c r="T241" s="4"/>
      <c r="U241" s="4"/>
      <c r="V241" s="4"/>
      <c r="AL241" s="58"/>
      <c r="AM241" s="3"/>
      <c r="AN241" s="60"/>
    </row>
    <row r="242" spans="13:40">
      <c r="M242" s="4"/>
      <c r="N242" s="4"/>
      <c r="O242" s="4"/>
      <c r="P242" s="4"/>
      <c r="Q242" s="4"/>
      <c r="R242" s="4"/>
      <c r="S242" s="4"/>
      <c r="T242" s="4"/>
      <c r="U242" s="4"/>
      <c r="V242" s="4"/>
      <c r="AL242" s="58"/>
      <c r="AM242" s="3"/>
      <c r="AN242" s="60"/>
    </row>
    <row r="243" spans="13:40">
      <c r="M243" s="4"/>
      <c r="N243" s="4"/>
      <c r="O243" s="4"/>
      <c r="P243" s="4"/>
      <c r="Q243" s="4"/>
      <c r="R243" s="4"/>
      <c r="S243" s="4"/>
      <c r="T243" s="4"/>
      <c r="U243" s="4"/>
      <c r="V243" s="4"/>
      <c r="AL243" s="59"/>
      <c r="AM243" s="3"/>
      <c r="AN243" s="60"/>
    </row>
    <row r="244" spans="13:40">
      <c r="M244" s="4"/>
      <c r="N244" s="4"/>
      <c r="O244" s="4"/>
      <c r="P244" s="4"/>
      <c r="Q244" s="4"/>
      <c r="R244" s="4"/>
      <c r="S244" s="4"/>
      <c r="T244" s="4"/>
      <c r="U244" s="4"/>
      <c r="V244" s="4"/>
      <c r="AL244" s="59"/>
      <c r="AM244" s="3"/>
      <c r="AN244" s="60"/>
    </row>
    <row r="245" spans="13:40">
      <c r="M245" s="4"/>
      <c r="N245" s="4"/>
      <c r="O245" s="4"/>
      <c r="P245" s="4"/>
      <c r="Q245" s="4"/>
      <c r="R245" s="4"/>
      <c r="S245" s="4"/>
      <c r="T245" s="4"/>
      <c r="U245" s="4"/>
      <c r="V245" s="4"/>
      <c r="AL245" s="58"/>
      <c r="AM245" s="3"/>
      <c r="AN245" s="60"/>
    </row>
    <row r="246" spans="13:40">
      <c r="M246" s="4"/>
      <c r="N246" s="4"/>
      <c r="O246" s="4"/>
      <c r="P246" s="4"/>
      <c r="Q246" s="4"/>
      <c r="R246" s="4"/>
      <c r="S246" s="4"/>
      <c r="T246" s="4"/>
      <c r="U246" s="4"/>
      <c r="V246" s="4"/>
      <c r="AL246" s="58"/>
      <c r="AM246" s="3"/>
      <c r="AN246" s="60"/>
    </row>
    <row r="247" spans="13:40">
      <c r="M247" s="4"/>
      <c r="N247" s="4"/>
      <c r="O247" s="4"/>
      <c r="P247" s="4"/>
      <c r="Q247" s="4"/>
      <c r="R247" s="4"/>
      <c r="S247" s="4"/>
      <c r="T247" s="4"/>
      <c r="U247" s="4"/>
      <c r="V247" s="4"/>
      <c r="AL247" s="59"/>
      <c r="AM247" s="3"/>
      <c r="AN247" s="60"/>
    </row>
    <row r="248" spans="13:40">
      <c r="M248" s="4"/>
      <c r="N248" s="4"/>
      <c r="O248" s="4"/>
      <c r="P248" s="4"/>
      <c r="Q248" s="4"/>
      <c r="R248" s="4"/>
      <c r="S248" s="4"/>
      <c r="T248" s="4"/>
      <c r="U248" s="4"/>
      <c r="V248" s="4"/>
      <c r="AL248" s="59"/>
      <c r="AM248" s="3"/>
      <c r="AN248" s="60"/>
    </row>
    <row r="249" spans="13:40">
      <c r="M249" s="4"/>
      <c r="N249" s="4"/>
      <c r="O249" s="4"/>
      <c r="P249" s="4"/>
      <c r="Q249" s="4"/>
      <c r="R249" s="4"/>
      <c r="S249" s="4"/>
      <c r="T249" s="4"/>
      <c r="U249" s="4"/>
      <c r="V249" s="4"/>
      <c r="AL249" s="58"/>
      <c r="AM249" s="3"/>
      <c r="AN249" s="60"/>
    </row>
    <row r="250" spans="13:40">
      <c r="M250" s="4"/>
      <c r="N250" s="4"/>
      <c r="O250" s="4"/>
      <c r="P250" s="4"/>
      <c r="Q250" s="4"/>
      <c r="R250" s="4"/>
      <c r="S250" s="4"/>
      <c r="T250" s="4"/>
      <c r="U250" s="4"/>
      <c r="V250" s="4"/>
      <c r="AL250" s="58"/>
      <c r="AM250" s="3"/>
      <c r="AN250" s="60"/>
    </row>
    <row r="251" spans="13:40">
      <c r="M251" s="4"/>
      <c r="N251" s="4"/>
      <c r="O251" s="4"/>
      <c r="P251" s="4"/>
      <c r="Q251" s="4"/>
      <c r="R251" s="4"/>
      <c r="S251" s="4"/>
      <c r="T251" s="4"/>
      <c r="U251" s="4"/>
      <c r="V251" s="4"/>
      <c r="AL251" s="58"/>
      <c r="AM251" s="3"/>
      <c r="AN251" s="60"/>
    </row>
    <row r="252" spans="13:40">
      <c r="M252" s="4"/>
      <c r="N252" s="4"/>
      <c r="O252" s="4"/>
      <c r="P252" s="4"/>
      <c r="Q252" s="4"/>
      <c r="R252" s="4"/>
      <c r="S252" s="4"/>
      <c r="T252" s="4"/>
      <c r="U252" s="4"/>
      <c r="V252" s="4"/>
      <c r="AL252" s="59"/>
      <c r="AM252" s="3"/>
      <c r="AN252" s="60"/>
    </row>
    <row r="253" spans="13:40">
      <c r="M253" s="4"/>
      <c r="N253" s="4"/>
      <c r="O253" s="4"/>
      <c r="P253" s="4"/>
      <c r="Q253" s="4"/>
      <c r="R253" s="4"/>
      <c r="S253" s="4"/>
      <c r="T253" s="4"/>
      <c r="U253" s="4"/>
      <c r="V253" s="4"/>
      <c r="AL253" s="58"/>
      <c r="AM253" s="3"/>
      <c r="AN253" s="60"/>
    </row>
    <row r="254" spans="13:40">
      <c r="M254" s="4"/>
      <c r="N254" s="4"/>
      <c r="O254" s="4"/>
      <c r="P254" s="4"/>
      <c r="Q254" s="4"/>
      <c r="R254" s="4"/>
      <c r="S254" s="4"/>
      <c r="T254" s="4"/>
      <c r="U254" s="4"/>
      <c r="V254" s="4"/>
      <c r="AL254" s="58"/>
      <c r="AM254" s="3"/>
      <c r="AN254" s="60"/>
    </row>
    <row r="255" spans="13:40">
      <c r="M255" s="4"/>
      <c r="N255" s="4"/>
      <c r="O255" s="4"/>
      <c r="P255" s="4"/>
      <c r="Q255" s="4"/>
      <c r="R255" s="4"/>
      <c r="S255" s="4"/>
      <c r="T255" s="4"/>
      <c r="U255" s="4"/>
      <c r="V255" s="4"/>
      <c r="AL255" s="58"/>
      <c r="AM255" s="3"/>
      <c r="AN255" s="60"/>
    </row>
    <row r="256" spans="13:40">
      <c r="M256" s="4"/>
      <c r="N256" s="4"/>
      <c r="O256" s="4"/>
      <c r="P256" s="4"/>
      <c r="Q256" s="4"/>
      <c r="R256" s="4"/>
      <c r="S256" s="4"/>
      <c r="T256" s="4"/>
      <c r="U256" s="4"/>
      <c r="V256" s="4"/>
      <c r="AL256" s="59"/>
      <c r="AM256" s="3"/>
      <c r="AN256" s="60"/>
    </row>
    <row r="257" spans="13:40">
      <c r="M257" s="4"/>
      <c r="N257" s="4"/>
      <c r="O257" s="4"/>
      <c r="P257" s="4"/>
      <c r="Q257" s="4"/>
      <c r="R257" s="4"/>
      <c r="S257" s="4"/>
      <c r="T257" s="4"/>
      <c r="U257" s="4"/>
      <c r="V257" s="4"/>
      <c r="AL257" s="59"/>
      <c r="AM257" s="3"/>
      <c r="AN257" s="60"/>
    </row>
    <row r="258" spans="13:40">
      <c r="M258" s="4"/>
      <c r="N258" s="4"/>
      <c r="O258" s="4"/>
      <c r="P258" s="4"/>
      <c r="Q258" s="4"/>
      <c r="R258" s="4"/>
      <c r="S258" s="4"/>
      <c r="T258" s="4"/>
      <c r="U258" s="4"/>
      <c r="V258" s="4"/>
      <c r="AL258" s="58"/>
      <c r="AM258" s="3"/>
      <c r="AN258" s="60"/>
    </row>
    <row r="259" spans="13:40">
      <c r="M259" s="4"/>
      <c r="N259" s="4"/>
      <c r="O259" s="4"/>
      <c r="P259" s="4"/>
      <c r="Q259" s="4"/>
      <c r="R259" s="4"/>
      <c r="S259" s="4"/>
      <c r="T259" s="4"/>
      <c r="U259" s="4"/>
      <c r="V259" s="4"/>
      <c r="AL259" s="58"/>
      <c r="AM259" s="3"/>
      <c r="AN259" s="60"/>
    </row>
    <row r="260" spans="13:40">
      <c r="M260" s="4"/>
      <c r="N260" s="4"/>
      <c r="O260" s="4"/>
      <c r="P260" s="4"/>
      <c r="Q260" s="4"/>
      <c r="R260" s="4"/>
      <c r="S260" s="4"/>
      <c r="T260" s="4"/>
      <c r="U260" s="4"/>
      <c r="V260" s="4"/>
      <c r="AL260" s="59"/>
      <c r="AM260" s="3"/>
      <c r="AN260" s="60"/>
    </row>
    <row r="261" spans="13:40">
      <c r="M261" s="4"/>
      <c r="N261" s="4"/>
      <c r="O261" s="4"/>
      <c r="P261" s="4"/>
      <c r="Q261" s="4"/>
      <c r="R261" s="4"/>
      <c r="S261" s="4"/>
      <c r="T261" s="4"/>
      <c r="U261" s="4"/>
      <c r="V261" s="4"/>
      <c r="AL261" s="59"/>
      <c r="AM261" s="3"/>
      <c r="AN261" s="60"/>
    </row>
    <row r="262" spans="13:40">
      <c r="M262" s="4"/>
      <c r="N262" s="4"/>
      <c r="O262" s="4"/>
      <c r="P262" s="4"/>
      <c r="Q262" s="4"/>
      <c r="R262" s="4"/>
      <c r="S262" s="4"/>
      <c r="T262" s="4"/>
      <c r="U262" s="4"/>
      <c r="V262" s="4"/>
      <c r="AL262" s="58"/>
      <c r="AM262" s="3"/>
      <c r="AN262" s="60"/>
    </row>
    <row r="263" spans="13:40">
      <c r="M263" s="4"/>
      <c r="N263" s="4"/>
      <c r="O263" s="4"/>
      <c r="P263" s="4"/>
      <c r="Q263" s="4"/>
      <c r="R263" s="4"/>
      <c r="S263" s="4"/>
      <c r="T263" s="4"/>
      <c r="U263" s="4"/>
      <c r="V263" s="4"/>
      <c r="AL263" s="58"/>
      <c r="AM263" s="3"/>
      <c r="AN263" s="60"/>
    </row>
    <row r="264" spans="13:40">
      <c r="M264" s="4"/>
      <c r="N264" s="4"/>
      <c r="O264" s="4"/>
      <c r="P264" s="4"/>
      <c r="Q264" s="4"/>
      <c r="R264" s="4"/>
      <c r="S264" s="4"/>
      <c r="T264" s="4"/>
      <c r="U264" s="4"/>
      <c r="V264" s="4"/>
      <c r="AL264" s="58"/>
      <c r="AM264" s="3"/>
      <c r="AN264" s="60"/>
    </row>
    <row r="265" spans="13:40">
      <c r="AL265" s="59"/>
      <c r="AM265" s="3"/>
      <c r="AN265" s="60"/>
    </row>
    <row r="266" spans="13:40">
      <c r="AL266" s="58"/>
      <c r="AM266" s="3"/>
      <c r="AN266" s="60"/>
    </row>
    <row r="267" spans="13:40">
      <c r="AL267" s="58"/>
      <c r="AM267" s="3"/>
      <c r="AN267" s="60"/>
    </row>
    <row r="268" spans="13:40">
      <c r="AL268" s="58"/>
      <c r="AM268" s="3"/>
      <c r="AN268" s="60"/>
    </row>
    <row r="269" spans="13:40">
      <c r="AL269" s="59"/>
      <c r="AM269" s="3"/>
      <c r="AN269" s="60"/>
    </row>
    <row r="270" spans="13:40">
      <c r="AL270" s="58"/>
      <c r="AM270" s="3"/>
      <c r="AN270" s="60"/>
    </row>
    <row r="271" spans="13:40">
      <c r="AL271" s="58"/>
      <c r="AM271" s="3"/>
      <c r="AN271" s="60"/>
    </row>
    <row r="272" spans="13:40">
      <c r="AL272" s="58"/>
      <c r="AM272" s="3"/>
      <c r="AN272" s="60"/>
    </row>
    <row r="273" spans="38:40">
      <c r="AL273" s="59"/>
      <c r="AM273" s="3"/>
      <c r="AN273" s="60"/>
    </row>
    <row r="274" spans="38:40">
      <c r="AL274" s="59"/>
      <c r="AM274" s="3"/>
      <c r="AN274" s="60"/>
    </row>
    <row r="275" spans="38:40">
      <c r="AL275" s="58"/>
      <c r="AM275" s="3"/>
      <c r="AN275" s="60"/>
    </row>
    <row r="276" spans="38:40">
      <c r="AL276" s="58"/>
      <c r="AM276" s="3"/>
      <c r="AN276" s="60"/>
    </row>
    <row r="277" spans="38:40">
      <c r="AL277" s="58"/>
      <c r="AM277" s="3"/>
      <c r="AN277" s="60"/>
    </row>
    <row r="278" spans="38:40">
      <c r="AL278" s="59"/>
      <c r="AM278" s="3"/>
      <c r="AN278" s="60"/>
    </row>
    <row r="279" spans="38:40">
      <c r="AL279" s="58"/>
      <c r="AM279" s="3"/>
      <c r="AN279" s="60"/>
    </row>
    <row r="280" spans="38:40">
      <c r="AL280" s="58"/>
      <c r="AM280" s="3"/>
      <c r="AN280" s="60"/>
    </row>
    <row r="281" spans="38:40">
      <c r="AL281" s="58"/>
      <c r="AM281" s="3"/>
      <c r="AN281" s="60"/>
    </row>
    <row r="282" spans="38:40">
      <c r="AL282" s="59"/>
      <c r="AM282" s="3"/>
      <c r="AN282" s="60"/>
    </row>
    <row r="283" spans="38:40">
      <c r="AL283" s="59"/>
      <c r="AM283" s="3"/>
      <c r="AN283" s="60"/>
    </row>
    <row r="284" spans="38:40">
      <c r="AL284" s="58"/>
      <c r="AM284" s="3"/>
      <c r="AN284" s="60"/>
    </row>
    <row r="285" spans="38:40">
      <c r="AL285" s="58"/>
      <c r="AM285" s="3"/>
      <c r="AN285" s="60"/>
    </row>
    <row r="286" spans="38:40">
      <c r="AL286" s="59"/>
      <c r="AM286" s="3"/>
      <c r="AN286" s="60"/>
    </row>
    <row r="287" spans="38:40">
      <c r="AL287" s="59"/>
      <c r="AM287" s="3"/>
      <c r="AN287" s="60"/>
    </row>
    <row r="288" spans="38:40">
      <c r="AL288" s="58"/>
      <c r="AM288" s="3"/>
      <c r="AN288" s="60"/>
    </row>
    <row r="289" spans="38:40">
      <c r="AL289" s="58"/>
      <c r="AM289" s="3"/>
      <c r="AN289" s="60"/>
    </row>
    <row r="290" spans="38:40">
      <c r="AL290" s="58"/>
      <c r="AM290" s="3"/>
      <c r="AN290" s="60"/>
    </row>
    <row r="291" spans="38:40">
      <c r="AL291" s="59"/>
      <c r="AM291" s="3"/>
      <c r="AN291" s="60"/>
    </row>
  </sheetData>
  <mergeCells count="3">
    <mergeCell ref="B2:K2"/>
    <mergeCell ref="M2:V2"/>
    <mergeCell ref="X2:AH2"/>
  </mergeCells>
  <conditionalFormatting sqref="Y26:AH35">
    <cfRule type="colorScale" priority="1">
      <colorScale>
        <cfvo type="num" val="-1"/>
        <cfvo type="num" val="0"/>
        <cfvo type="num" val="1"/>
        <color theme="5"/>
        <color theme="0"/>
        <color theme="4"/>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861B3-E682-5544-812C-CD7D0CE114FF}">
  <dimension ref="A1:AL72"/>
  <sheetViews>
    <sheetView showGridLines="0" topLeftCell="A23" zoomScale="75" zoomScaleNormal="55" workbookViewId="0">
      <selection activeCell="A56" sqref="A56"/>
    </sheetView>
  </sheetViews>
  <sheetFormatPr baseColWidth="10" defaultColWidth="10.6640625" defaultRowHeight="16"/>
  <cols>
    <col min="1" max="1" width="16.83203125" bestFit="1" customWidth="1"/>
    <col min="2" max="2" width="15.5" bestFit="1" customWidth="1"/>
    <col min="3" max="3" width="12.1640625" customWidth="1"/>
    <col min="4" max="4" width="8.1640625" customWidth="1"/>
    <col min="5" max="5" width="13.5" customWidth="1"/>
    <col min="6" max="6" width="11.1640625" bestFit="1" customWidth="1"/>
    <col min="7" max="7" width="23.5" customWidth="1"/>
    <col min="8" max="11" width="11.1640625" bestFit="1" customWidth="1"/>
    <col min="12" max="12" width="12.1640625" bestFit="1" customWidth="1"/>
    <col min="13" max="13" width="11.1640625" bestFit="1" customWidth="1"/>
    <col min="14" max="14" width="11" customWidth="1"/>
    <col min="15" max="15" width="11.1640625" bestFit="1" customWidth="1"/>
    <col min="16" max="16" width="14.33203125" bestFit="1" customWidth="1"/>
    <col min="17" max="17" width="11" customWidth="1"/>
    <col min="18" max="18" width="13.83203125" bestFit="1" customWidth="1"/>
    <col min="19" max="19" width="14.6640625" bestFit="1" customWidth="1"/>
    <col min="20" max="20" width="13.1640625" bestFit="1" customWidth="1"/>
    <col min="21" max="27" width="14.6640625" bestFit="1" customWidth="1"/>
    <col min="29" max="29" width="11" bestFit="1" customWidth="1"/>
    <col min="30" max="30" width="12.1640625" bestFit="1" customWidth="1"/>
    <col min="31" max="31" width="12.33203125" bestFit="1" customWidth="1"/>
    <col min="32" max="37" width="12.1640625" bestFit="1" customWidth="1"/>
    <col min="38" max="38" width="11.1640625" bestFit="1" customWidth="1"/>
  </cols>
  <sheetData>
    <row r="1" spans="1:38" ht="19">
      <c r="A1" s="70" t="s">
        <v>11</v>
      </c>
      <c r="B1" s="69"/>
    </row>
    <row r="2" spans="1:38" ht="17" thickBot="1"/>
    <row r="3" spans="1:38" ht="48">
      <c r="A3" s="45" t="s">
        <v>27</v>
      </c>
      <c r="B3" s="42" t="s">
        <v>12</v>
      </c>
      <c r="C3" s="42" t="s">
        <v>28</v>
      </c>
      <c r="D3" s="40"/>
      <c r="E3" s="50" t="s">
        <v>9</v>
      </c>
      <c r="F3" s="2" t="s">
        <v>2</v>
      </c>
      <c r="G3" s="2" t="s">
        <v>50</v>
      </c>
      <c r="H3" s="2" t="s">
        <v>51</v>
      </c>
      <c r="I3" s="2" t="s">
        <v>52</v>
      </c>
      <c r="J3" s="2" t="s">
        <v>53</v>
      </c>
      <c r="K3" s="2" t="s">
        <v>54</v>
      </c>
      <c r="L3" s="2" t="s">
        <v>3</v>
      </c>
      <c r="M3" s="2" t="s">
        <v>55</v>
      </c>
      <c r="N3" s="2" t="s">
        <v>4</v>
      </c>
      <c r="O3" s="2" t="s">
        <v>56</v>
      </c>
      <c r="P3" s="40"/>
      <c r="Q3" s="51" t="s">
        <v>64</v>
      </c>
      <c r="R3" s="2" t="s">
        <v>2</v>
      </c>
      <c r="S3" s="2" t="s">
        <v>50</v>
      </c>
      <c r="T3" s="2" t="s">
        <v>51</v>
      </c>
      <c r="U3" s="2" t="s">
        <v>52</v>
      </c>
      <c r="V3" s="2" t="s">
        <v>53</v>
      </c>
      <c r="W3" s="2" t="s">
        <v>54</v>
      </c>
      <c r="X3" s="2" t="s">
        <v>3</v>
      </c>
      <c r="Y3" s="2" t="s">
        <v>55</v>
      </c>
      <c r="Z3" s="2" t="s">
        <v>4</v>
      </c>
      <c r="AA3" s="2" t="s">
        <v>56</v>
      </c>
      <c r="AB3" s="40"/>
      <c r="AC3" s="52" t="s">
        <v>10</v>
      </c>
      <c r="AD3" s="28"/>
      <c r="AE3" s="28"/>
      <c r="AF3" s="28"/>
      <c r="AG3" s="28"/>
      <c r="AH3" s="28"/>
      <c r="AI3" s="28"/>
      <c r="AJ3" s="28"/>
      <c r="AK3" s="28"/>
      <c r="AL3" s="29"/>
    </row>
    <row r="4" spans="1:38">
      <c r="A4" s="43" t="str">
        <f>Prices!Y$3</f>
        <v>SPY</v>
      </c>
      <c r="B4" s="44">
        <f>Prices!Y4</f>
        <v>1.3353828920087674E-2</v>
      </c>
      <c r="C4" s="44">
        <f>Prices!Y6</f>
        <v>4.7649232574071006E-2</v>
      </c>
      <c r="E4" s="10" t="s">
        <v>2</v>
      </c>
      <c r="F4" s="13">
        <f>Prices!Y26</f>
        <v>1.0000000000000002</v>
      </c>
      <c r="G4" s="14">
        <f>Prices!Z26</f>
        <v>0.83459353197024411</v>
      </c>
      <c r="H4" s="14">
        <f>Prices!AA26</f>
        <v>0.68918815065026184</v>
      </c>
      <c r="I4" s="14">
        <f>Prices!AB26</f>
        <v>0.24578785880324971</v>
      </c>
      <c r="J4" s="14">
        <f>Prices!AC26</f>
        <v>0.66292545162911165</v>
      </c>
      <c r="K4" s="14">
        <f>Prices!AD26</f>
        <v>0.5869997068580286</v>
      </c>
      <c r="L4" s="14">
        <f>Prices!AE26</f>
        <v>0.81607364727359155</v>
      </c>
      <c r="M4" s="14">
        <f>Prices!AF26</f>
        <v>0.15773992785337076</v>
      </c>
      <c r="N4" s="14">
        <f>Prices!AG26</f>
        <v>0.41577682654450299</v>
      </c>
      <c r="O4" s="15">
        <f>Prices!AH26</f>
        <v>0.46096584674204782</v>
      </c>
      <c r="Q4" s="10" t="s">
        <v>2</v>
      </c>
      <c r="R4" s="72">
        <f>Prices!Y11</f>
        <v>2.27044936489791E-3</v>
      </c>
      <c r="S4" s="73">
        <f>Prices!Z11</f>
        <v>2.0767105354332401E-3</v>
      </c>
      <c r="T4" s="73">
        <f>Prices!AA11</f>
        <v>1.5167281467042557E-3</v>
      </c>
      <c r="U4" s="73">
        <f>Prices!AB11</f>
        <v>2.4655076807844829E-4</v>
      </c>
      <c r="V4" s="73">
        <f>Prices!AC11</f>
        <v>8.6812889813380487E-4</v>
      </c>
      <c r="W4" s="73">
        <f>Prices!AD11</f>
        <v>4.8962366961611116E-4</v>
      </c>
      <c r="X4" s="73">
        <f>Prices!AE11</f>
        <v>2.1278401578029675E-3</v>
      </c>
      <c r="Y4" s="73">
        <f>Prices!AF11</f>
        <v>3.1527410043494106E-4</v>
      </c>
      <c r="Z4" s="73">
        <f>Prices!AG11</f>
        <v>9.7690527381058805E-4</v>
      </c>
      <c r="AA4" s="74">
        <f>Prices!AH11</f>
        <v>4.3833923738954804E-3</v>
      </c>
      <c r="AC4" s="30">
        <v>2.27044936489791E-3</v>
      </c>
      <c r="AD4" s="5"/>
      <c r="AE4" s="5"/>
      <c r="AF4" s="5"/>
      <c r="AG4" s="5"/>
      <c r="AH4" s="5"/>
      <c r="AI4" s="5"/>
      <c r="AJ4" s="5"/>
      <c r="AK4" s="5"/>
      <c r="AL4" s="5"/>
    </row>
    <row r="5" spans="1:38">
      <c r="A5" s="43" t="str">
        <f>Prices!Z$3</f>
        <v>VGK</v>
      </c>
      <c r="B5" s="44">
        <f>Prices!Z4</f>
        <v>8.4964114811374586E-3</v>
      </c>
      <c r="C5" s="44">
        <f>Prices!Z6</f>
        <v>5.2220982812732616E-2</v>
      </c>
      <c r="E5" s="10" t="s">
        <v>50</v>
      </c>
      <c r="F5" s="16"/>
      <c r="G5" s="17">
        <f>Prices!Z27</f>
        <v>1</v>
      </c>
      <c r="H5" s="17">
        <f>Prices!AA27</f>
        <v>0.7719153526680379</v>
      </c>
      <c r="I5" s="17">
        <f>Prices!AB27</f>
        <v>0.29140302467724011</v>
      </c>
      <c r="J5" s="17">
        <f>Prices!AC27</f>
        <v>0.68294569776688485</v>
      </c>
      <c r="K5" s="17">
        <f>Prices!AD27</f>
        <v>0.56960723740571095</v>
      </c>
      <c r="L5" s="17">
        <f>Prices!AE27</f>
        <v>0.78772612337167713</v>
      </c>
      <c r="M5" s="17">
        <f>Prices!AF27</f>
        <v>0.28156056236336541</v>
      </c>
      <c r="N5" s="17">
        <f>Prices!AG27</f>
        <v>0.48797064277427105</v>
      </c>
      <c r="O5" s="18">
        <f>Prices!AH27</f>
        <v>0.33456398734785325</v>
      </c>
      <c r="Q5" s="10" t="s">
        <v>50</v>
      </c>
      <c r="R5" s="75">
        <f>Prices!Y12</f>
        <v>2.0767105354332401E-3</v>
      </c>
      <c r="S5" s="76">
        <f>Prices!Z12</f>
        <v>2.7270310459277147E-3</v>
      </c>
      <c r="T5" s="25">
        <f>Prices!AA12</f>
        <v>1.8617816853557869E-3</v>
      </c>
      <c r="U5" s="25">
        <f>Prices!AB12</f>
        <v>3.2035323918017897E-4</v>
      </c>
      <c r="V5" s="25">
        <f>Prices!AC12</f>
        <v>9.8015514569673584E-4</v>
      </c>
      <c r="W5" s="25">
        <f>Prices!AD12</f>
        <v>5.2070188471977405E-4</v>
      </c>
      <c r="X5" s="25">
        <f>Prices!AE12</f>
        <v>2.2509923860204025E-3</v>
      </c>
      <c r="Y5" s="25">
        <f>Prices!AF12</f>
        <v>6.1674780427122889E-4</v>
      </c>
      <c r="Z5" s="25">
        <f>Prices!AG12</f>
        <v>1.2565361846237073E-3</v>
      </c>
      <c r="AA5" s="77">
        <f>Prices!AH12</f>
        <v>3.4866625773129151E-3</v>
      </c>
      <c r="AC5" s="32"/>
      <c r="AD5" s="26">
        <v>1.8788592583040481E-6</v>
      </c>
      <c r="AE5" s="37"/>
      <c r="AF5" s="5"/>
      <c r="AG5" s="5"/>
      <c r="AH5" s="5"/>
      <c r="AI5" s="5"/>
      <c r="AJ5" s="5"/>
      <c r="AK5" s="5"/>
      <c r="AL5" s="31"/>
    </row>
    <row r="6" spans="1:38">
      <c r="A6" s="43" t="str">
        <f>Prices!AA$3</f>
        <v>VWO</v>
      </c>
      <c r="B6" s="44">
        <f>Prices!AA4</f>
        <v>5.4307927354481028E-3</v>
      </c>
      <c r="C6" s="44">
        <f>Prices!AA6</f>
        <v>4.6186391648232912E-2</v>
      </c>
      <c r="E6" s="10" t="s">
        <v>51</v>
      </c>
      <c r="F6" s="16"/>
      <c r="G6" s="19"/>
      <c r="H6" s="17">
        <f>Prices!AA28</f>
        <v>1</v>
      </c>
      <c r="I6" s="17">
        <f>Prices!AB28</f>
        <v>0.21723645818688539</v>
      </c>
      <c r="J6" s="17">
        <f>Prices!AC28</f>
        <v>0.64189322701151308</v>
      </c>
      <c r="K6" s="17">
        <f>Prices!AD28</f>
        <v>0.4493184633957199</v>
      </c>
      <c r="L6" s="17">
        <f>Prices!AE28</f>
        <v>0.61941506443092476</v>
      </c>
      <c r="M6" s="17">
        <f>Prices!AF28</f>
        <v>0.34539842831733919</v>
      </c>
      <c r="N6" s="17">
        <f>Prices!AG28</f>
        <v>0.4946949517646817</v>
      </c>
      <c r="O6" s="18">
        <f>Prices!AH28</f>
        <v>0.25634913951749611</v>
      </c>
      <c r="Q6" s="10" t="s">
        <v>51</v>
      </c>
      <c r="R6" s="75">
        <f>Prices!Y13</f>
        <v>1.5167281467042557E-3</v>
      </c>
      <c r="S6" s="25">
        <f>Prices!Z13</f>
        <v>1.8617816853557869E-3</v>
      </c>
      <c r="T6" s="76">
        <f>Prices!AA13</f>
        <v>2.1331827734839587E-3</v>
      </c>
      <c r="U6" s="25">
        <f>Prices!AB13</f>
        <v>2.11220842524017E-4</v>
      </c>
      <c r="V6" s="25">
        <f>Prices!AC13</f>
        <v>8.1478014395880275E-4</v>
      </c>
      <c r="W6" s="25">
        <f>Prices!AD13</f>
        <v>3.6327616874761429E-4</v>
      </c>
      <c r="X6" s="25">
        <f>Prices!AE13</f>
        <v>1.5654872467697931E-3</v>
      </c>
      <c r="Y6" s="25">
        <f>Prices!AF13</f>
        <v>6.6915255096715439E-4</v>
      </c>
      <c r="Z6" s="25">
        <f>Prices!AG13</f>
        <v>1.126646770330555E-3</v>
      </c>
      <c r="AA6" s="77">
        <f>Prices!AH13</f>
        <v>2.3628251553027722E-3</v>
      </c>
      <c r="AC6" s="33"/>
      <c r="AD6" s="37"/>
      <c r="AE6" s="26">
        <v>1.5931103648294881E-9</v>
      </c>
      <c r="AF6" s="5"/>
      <c r="AG6" s="5"/>
      <c r="AH6" s="5"/>
      <c r="AI6" s="5"/>
      <c r="AJ6" s="5"/>
      <c r="AK6" s="5"/>
      <c r="AL6" s="31"/>
    </row>
    <row r="7" spans="1:38">
      <c r="A7" s="43" t="str">
        <f>Prices!AB$3</f>
        <v>IEF</v>
      </c>
      <c r="B7" s="44">
        <f>Prices!AB4</f>
        <v>-3.3629337690558328E-4</v>
      </c>
      <c r="C7" s="44">
        <f>Prices!AB6</f>
        <v>2.1051838188021685E-2</v>
      </c>
      <c r="E7" s="10" t="s">
        <v>52</v>
      </c>
      <c r="F7" s="16"/>
      <c r="G7" s="19"/>
      <c r="H7" s="19"/>
      <c r="I7" s="17">
        <f>Prices!AB29</f>
        <v>0.99999999999999989</v>
      </c>
      <c r="J7" s="17">
        <f>Prices!AC29</f>
        <v>0.78331896244455235</v>
      </c>
      <c r="K7" s="17">
        <f>Prices!AD29</f>
        <v>0.77027045141303074</v>
      </c>
      <c r="L7" s="17">
        <f>Prices!AE29</f>
        <v>0.39468054118563239</v>
      </c>
      <c r="M7" s="17">
        <f>Prices!AF29</f>
        <v>0.36757219930603363</v>
      </c>
      <c r="N7" s="17">
        <f>Prices!AG29</f>
        <v>-0.28839159901766059</v>
      </c>
      <c r="O7" s="18">
        <f>Prices!AH29</f>
        <v>0.11841452314453722</v>
      </c>
      <c r="Q7" s="10" t="s">
        <v>52</v>
      </c>
      <c r="R7" s="75">
        <f>Prices!Y14</f>
        <v>2.4655076807844829E-4</v>
      </c>
      <c r="S7" s="25">
        <f>Prices!Z14</f>
        <v>3.2035323918017897E-4</v>
      </c>
      <c r="T7" s="25">
        <f>Prices!AA14</f>
        <v>2.11220842524017E-4</v>
      </c>
      <c r="U7" s="76">
        <f>Prices!AB14</f>
        <v>4.4317989109464814E-4</v>
      </c>
      <c r="V7" s="25">
        <f>Prices!AC14</f>
        <v>4.5320247489009821E-4</v>
      </c>
      <c r="W7" s="25">
        <f>Prices!AD14</f>
        <v>2.8385847879062374E-4</v>
      </c>
      <c r="X7" s="25">
        <f>Prices!AE14</f>
        <v>4.5466285523215955E-4</v>
      </c>
      <c r="Y7" s="25">
        <f>Prices!AF14</f>
        <v>3.2458124892382752E-4</v>
      </c>
      <c r="Z7" s="25">
        <f>Prices!AG14</f>
        <v>-2.9937042360176058E-4</v>
      </c>
      <c r="AA7" s="77">
        <f>Prices!AH14</f>
        <v>4.9748579149017579E-4</v>
      </c>
      <c r="AC7" s="33"/>
      <c r="AD7" s="5"/>
      <c r="AE7" s="5"/>
      <c r="AF7" s="26">
        <v>6.4594939983139182E-13</v>
      </c>
      <c r="AG7" s="5"/>
      <c r="AH7" s="5"/>
      <c r="AI7" s="5"/>
      <c r="AJ7" s="5"/>
      <c r="AK7" s="5"/>
      <c r="AL7" s="31"/>
    </row>
    <row r="8" spans="1:38">
      <c r="A8" s="43" t="str">
        <f>Prices!AC$3</f>
        <v>LQD</v>
      </c>
      <c r="B8" s="44">
        <f>Prices!AC4</f>
        <v>5.1088611779445811E-4</v>
      </c>
      <c r="C8" s="44">
        <f>Prices!AC6</f>
        <v>2.7482966572273355E-2</v>
      </c>
      <c r="E8" s="10" t="s">
        <v>53</v>
      </c>
      <c r="F8" s="16"/>
      <c r="G8" s="19"/>
      <c r="H8" s="19"/>
      <c r="I8" s="19"/>
      <c r="J8" s="17">
        <f>Prices!AC30</f>
        <v>1</v>
      </c>
      <c r="K8" s="17">
        <f>Prices!AD30</f>
        <v>0.82397669317346456</v>
      </c>
      <c r="L8" s="17">
        <f>Prices!AE30</f>
        <v>0.73173725049692595</v>
      </c>
      <c r="M8" s="17">
        <f>Prices!AF30</f>
        <v>0.38027928262801997</v>
      </c>
      <c r="N8" s="17">
        <f>Prices!AG30</f>
        <v>8.3179824718509918E-2</v>
      </c>
      <c r="O8" s="18">
        <f>Prices!AH30</f>
        <v>0.31226977241909792</v>
      </c>
      <c r="Q8" s="10" t="s">
        <v>53</v>
      </c>
      <c r="R8" s="75">
        <f>Prices!Y15</f>
        <v>8.6812889813380487E-4</v>
      </c>
      <c r="S8" s="25">
        <f>Prices!Z15</f>
        <v>9.8015514569673584E-4</v>
      </c>
      <c r="T8" s="25">
        <f>Prices!AA15</f>
        <v>8.1478014395880275E-4</v>
      </c>
      <c r="U8" s="25">
        <f>Prices!AB15</f>
        <v>4.5320247489009821E-4</v>
      </c>
      <c r="V8" s="76">
        <f>Prices!AC15</f>
        <v>7.5531345161269448E-4</v>
      </c>
      <c r="W8" s="25">
        <f>Prices!AD15</f>
        <v>3.964123232234388E-4</v>
      </c>
      <c r="X8" s="25">
        <f>Prices!AE15</f>
        <v>1.1004555637770645E-3</v>
      </c>
      <c r="Y8" s="25">
        <f>Prices!AF15</f>
        <v>4.3838634944414048E-4</v>
      </c>
      <c r="Z8" s="25">
        <f>Prices!AG15</f>
        <v>1.1272438487899193E-4</v>
      </c>
      <c r="AA8" s="77">
        <f>Prices!AH15</f>
        <v>1.7126919019364571E-3</v>
      </c>
      <c r="AC8" s="33"/>
      <c r="AD8" s="5"/>
      <c r="AE8" s="5"/>
      <c r="AF8" s="5"/>
      <c r="AG8" s="26">
        <v>5.1080238105973812E-17</v>
      </c>
      <c r="AH8" s="5"/>
      <c r="AI8" s="5"/>
      <c r="AJ8" s="5"/>
      <c r="AK8" s="5"/>
      <c r="AL8" s="31"/>
    </row>
    <row r="9" spans="1:38">
      <c r="A9" s="43" t="str">
        <f>Prices!AD$3</f>
        <v>TIP</v>
      </c>
      <c r="B9" s="44">
        <f>Prices!AD4</f>
        <v>7.9045932563296274E-4</v>
      </c>
      <c r="C9" s="44">
        <f>Prices!AD6</f>
        <v>1.7505261780072584E-2</v>
      </c>
      <c r="E9" s="10" t="s">
        <v>54</v>
      </c>
      <c r="F9" s="16"/>
      <c r="G9" s="19"/>
      <c r="H9" s="19"/>
      <c r="I9" s="19"/>
      <c r="J9" s="19"/>
      <c r="K9" s="17">
        <f>Prices!AD31</f>
        <v>1.0000000000000002</v>
      </c>
      <c r="L9" s="17">
        <f>Prices!AE31</f>
        <v>0.66911402801895736</v>
      </c>
      <c r="M9" s="17">
        <f>Prices!AF31</f>
        <v>0.41945981181900932</v>
      </c>
      <c r="N9" s="17">
        <f>Prices!AG31</f>
        <v>8.4887186981553259E-2</v>
      </c>
      <c r="O9" s="18">
        <f>Prices!AH31</f>
        <v>0.3461330427145855</v>
      </c>
      <c r="Q9" s="10" t="s">
        <v>54</v>
      </c>
      <c r="R9" s="75">
        <f>Prices!Y16</f>
        <v>4.8962366961611116E-4</v>
      </c>
      <c r="S9" s="25">
        <f>Prices!Z16</f>
        <v>5.2070188471977405E-4</v>
      </c>
      <c r="T9" s="25">
        <f>Prices!AA16</f>
        <v>3.6327616874761429E-4</v>
      </c>
      <c r="U9" s="25">
        <f>Prices!AB16</f>
        <v>2.8385847879062374E-4</v>
      </c>
      <c r="V9" s="25">
        <f>Prices!AC16</f>
        <v>3.964123232234388E-4</v>
      </c>
      <c r="W9" s="76">
        <f>Prices!AD16</f>
        <v>3.0643418998887008E-4</v>
      </c>
      <c r="X9" s="25">
        <f>Prices!AE16</f>
        <v>6.4094753467179837E-4</v>
      </c>
      <c r="Y9" s="25">
        <f>Prices!AF16</f>
        <v>3.0799928929517873E-4</v>
      </c>
      <c r="Z9" s="25">
        <f>Prices!AG16</f>
        <v>7.3273513285891046E-5</v>
      </c>
      <c r="AA9" s="77">
        <f>Prices!AH16</f>
        <v>1.2091978261417663E-3</v>
      </c>
      <c r="AC9" s="33"/>
      <c r="AD9" s="5"/>
      <c r="AE9" s="5"/>
      <c r="AF9" s="5"/>
      <c r="AG9" s="5"/>
      <c r="AH9" s="26">
        <v>3.6643132703211448E-21</v>
      </c>
      <c r="AI9" s="5"/>
      <c r="AJ9" s="5"/>
      <c r="AK9" s="5"/>
      <c r="AL9" s="31"/>
    </row>
    <row r="10" spans="1:38">
      <c r="A10" s="43" t="str">
        <f>Prices!AE$3</f>
        <v>VNQ</v>
      </c>
      <c r="B10" s="44">
        <f>Prices!AE4</f>
        <v>3.891999054814182E-3</v>
      </c>
      <c r="C10" s="44">
        <f>Prices!AE6</f>
        <v>5.4720963632938928E-2</v>
      </c>
      <c r="E10" s="10" t="s">
        <v>3</v>
      </c>
      <c r="F10" s="16"/>
      <c r="G10" s="19"/>
      <c r="H10" s="19"/>
      <c r="I10" s="19"/>
      <c r="J10" s="19"/>
      <c r="K10" s="19"/>
      <c r="L10" s="17">
        <f>Prices!AE32</f>
        <v>1.0000000000000002</v>
      </c>
      <c r="M10" s="17">
        <f>Prices!AF32</f>
        <v>0.21561572987866676</v>
      </c>
      <c r="N10" s="17">
        <f>Prices!AG32</f>
        <v>0.35588308562164217</v>
      </c>
      <c r="O10" s="18">
        <f>Prices!AH32</f>
        <v>0.39827181769343001</v>
      </c>
      <c r="Q10" s="10" t="s">
        <v>3</v>
      </c>
      <c r="R10" s="75">
        <f>Prices!Y17</f>
        <v>2.1278401578029675E-3</v>
      </c>
      <c r="S10" s="25">
        <f>Prices!Z17</f>
        <v>2.2509923860204025E-3</v>
      </c>
      <c r="T10" s="25">
        <f>Prices!AA17</f>
        <v>1.5654872467697931E-3</v>
      </c>
      <c r="U10" s="25">
        <f>Prices!AB17</f>
        <v>4.5466285523215955E-4</v>
      </c>
      <c r="V10" s="25">
        <f>Prices!AC17</f>
        <v>1.1004555637770645E-3</v>
      </c>
      <c r="W10" s="25">
        <f>Prices!AD17</f>
        <v>6.4094753467179837E-4</v>
      </c>
      <c r="X10" s="76">
        <f>Prices!AE17</f>
        <v>2.9943838609174235E-3</v>
      </c>
      <c r="Y10" s="25">
        <f>Prices!AF17</f>
        <v>4.9490851330648289E-4</v>
      </c>
      <c r="Z10" s="25">
        <f>Prices!AG17</f>
        <v>9.6027881459056325E-4</v>
      </c>
      <c r="AA10" s="77">
        <f>Prices!AH17</f>
        <v>4.3492963535825581E-3</v>
      </c>
      <c r="AC10" s="33"/>
      <c r="AD10" s="5"/>
      <c r="AE10" s="5"/>
      <c r="AF10" s="5"/>
      <c r="AG10" s="5"/>
      <c r="AH10" s="5"/>
      <c r="AI10" s="26">
        <v>2.6255842631221102E-24</v>
      </c>
      <c r="AJ10" s="5"/>
      <c r="AK10" s="5"/>
      <c r="AL10" s="31"/>
    </row>
    <row r="11" spans="1:38">
      <c r="A11" s="43" t="str">
        <f>Prices!AF$3</f>
        <v>GLD</v>
      </c>
      <c r="B11" s="44">
        <f>Prices!AF4</f>
        <v>1.4965569872160762E-2</v>
      </c>
      <c r="C11" s="44">
        <f>Prices!AF6</f>
        <v>4.1946018779376655E-2</v>
      </c>
      <c r="E11" s="10" t="s">
        <v>55</v>
      </c>
      <c r="F11" s="16"/>
      <c r="G11" s="19"/>
      <c r="H11" s="19"/>
      <c r="I11" s="19"/>
      <c r="J11" s="19"/>
      <c r="K11" s="19"/>
      <c r="L11" s="19"/>
      <c r="M11" s="17">
        <f>Prices!AF33</f>
        <v>0.99999999999999989</v>
      </c>
      <c r="N11" s="17">
        <f>Prices!AG33</f>
        <v>3.5311691891397136E-2</v>
      </c>
      <c r="O11" s="18">
        <f>Prices!AH33</f>
        <v>0.13211005837815495</v>
      </c>
      <c r="Q11" s="10" t="s">
        <v>55</v>
      </c>
      <c r="R11" s="75">
        <f>Prices!Y18</f>
        <v>3.1527410043494106E-4</v>
      </c>
      <c r="S11" s="25">
        <f>Prices!Z18</f>
        <v>6.1674780427122889E-4</v>
      </c>
      <c r="T11" s="25">
        <f>Prices!AA18</f>
        <v>6.6915255096715439E-4</v>
      </c>
      <c r="U11" s="25">
        <f>Prices!AB18</f>
        <v>3.2458124892382752E-4</v>
      </c>
      <c r="V11" s="25">
        <f>Prices!AC18</f>
        <v>4.3838634944414048E-4</v>
      </c>
      <c r="W11" s="25">
        <f>Prices!AD18</f>
        <v>3.0799928929517873E-4</v>
      </c>
      <c r="X11" s="25">
        <f>Prices!AE18</f>
        <v>4.9490851330648289E-4</v>
      </c>
      <c r="Y11" s="76">
        <f>Prices!AF18</f>
        <v>1.7594684914398191E-3</v>
      </c>
      <c r="Z11" s="25">
        <f>Prices!AG18</f>
        <v>7.3037439068179897E-5</v>
      </c>
      <c r="AA11" s="77">
        <f>Prices!AH18</f>
        <v>1.1058909888860716E-3</v>
      </c>
      <c r="AC11" s="33"/>
      <c r="AD11" s="5"/>
      <c r="AE11" s="5"/>
      <c r="AF11" s="5"/>
      <c r="AG11" s="5"/>
      <c r="AH11" s="5"/>
      <c r="AI11" s="5"/>
      <c r="AJ11" s="26">
        <v>3.2937397220274853E-27</v>
      </c>
      <c r="AK11" s="5"/>
      <c r="AL11" s="31"/>
    </row>
    <row r="12" spans="1:38">
      <c r="A12" s="43" t="str">
        <f>Prices!AG$3</f>
        <v>DBC</v>
      </c>
      <c r="B12" s="44">
        <f>Prices!AG4</f>
        <v>6.0828470658512877E-3</v>
      </c>
      <c r="C12" s="44">
        <f>Prices!AG6</f>
        <v>4.9310143184493317E-2</v>
      </c>
      <c r="E12" s="10" t="s">
        <v>4</v>
      </c>
      <c r="F12" s="20"/>
      <c r="G12" s="21"/>
      <c r="H12" s="21"/>
      <c r="I12" s="21"/>
      <c r="J12" s="21"/>
      <c r="K12" s="21"/>
      <c r="L12" s="21"/>
      <c r="M12" s="21"/>
      <c r="N12" s="17">
        <f>Prices!AG34</f>
        <v>1.0000000000000002</v>
      </c>
      <c r="O12" s="18">
        <f>Prices!AH34</f>
        <v>0.10625790863747228</v>
      </c>
      <c r="Q12" s="10" t="s">
        <v>4</v>
      </c>
      <c r="R12" s="75">
        <f>Prices!Y19</f>
        <v>9.7690527381058805E-4</v>
      </c>
      <c r="S12" s="25">
        <f>Prices!Z19</f>
        <v>1.2565361846237073E-3</v>
      </c>
      <c r="T12" s="25">
        <f>Prices!AA19</f>
        <v>1.126646770330555E-3</v>
      </c>
      <c r="U12" s="25">
        <f>Prices!AB19</f>
        <v>-2.9937042360176058E-4</v>
      </c>
      <c r="V12" s="25">
        <f>Prices!AC19</f>
        <v>1.1272438487899193E-4</v>
      </c>
      <c r="W12" s="25">
        <f>Prices!AD19</f>
        <v>7.3273513285891046E-5</v>
      </c>
      <c r="X12" s="25">
        <f>Prices!AE19</f>
        <v>9.6027881459056325E-4</v>
      </c>
      <c r="Y12" s="25">
        <f>Prices!AF19</f>
        <v>7.3037439068179897E-5</v>
      </c>
      <c r="Z12" s="76">
        <f>Prices!AG19</f>
        <v>2.4314902208752327E-3</v>
      </c>
      <c r="AA12" s="77">
        <f>Prices!AH19</f>
        <v>1.0456424726550766E-3</v>
      </c>
      <c r="AC12" s="33"/>
      <c r="AD12" s="5"/>
      <c r="AE12" s="5"/>
      <c r="AF12" s="5"/>
      <c r="AG12" s="5"/>
      <c r="AH12" s="5"/>
      <c r="AI12" s="5"/>
      <c r="AJ12" s="5"/>
      <c r="AK12" s="26">
        <v>3.8861770062086455E-30</v>
      </c>
      <c r="AL12" s="31"/>
    </row>
    <row r="13" spans="1:38" ht="17" thickBot="1">
      <c r="A13" s="46" t="str">
        <f>Prices!AH$3</f>
        <v>BTC</v>
      </c>
      <c r="B13" s="47">
        <f>Prices!AH4</f>
        <v>5.7898273179662139E-2</v>
      </c>
      <c r="C13" s="47">
        <f>Prices!AG6</f>
        <v>4.9310143184493317E-2</v>
      </c>
      <c r="E13" s="10" t="s">
        <v>56</v>
      </c>
      <c r="F13" s="22"/>
      <c r="G13" s="23"/>
      <c r="H13" s="23"/>
      <c r="I13" s="23"/>
      <c r="J13" s="23"/>
      <c r="K13" s="23"/>
      <c r="L13" s="23"/>
      <c r="M13" s="23"/>
      <c r="N13" s="23"/>
      <c r="O13" s="24">
        <f>Prices!AH35</f>
        <v>1.0000000000000002</v>
      </c>
      <c r="Q13" s="10" t="s">
        <v>56</v>
      </c>
      <c r="R13" s="78">
        <f>Prices!Y20</f>
        <v>4.3833923738954804E-3</v>
      </c>
      <c r="S13" s="79">
        <f>Prices!Z20</f>
        <v>3.4866625773129151E-3</v>
      </c>
      <c r="T13" s="79">
        <f>Prices!AA20</f>
        <v>2.3628251553027722E-3</v>
      </c>
      <c r="U13" s="79">
        <f>Prices!AB20</f>
        <v>4.9748579149017579E-4</v>
      </c>
      <c r="V13" s="79">
        <f>Prices!AC20</f>
        <v>1.7126919019364571E-3</v>
      </c>
      <c r="W13" s="79">
        <f>Prices!AD20</f>
        <v>1.2091978261417663E-3</v>
      </c>
      <c r="X13" s="79">
        <f>Prices!AE20</f>
        <v>4.3492963535825581E-3</v>
      </c>
      <c r="Y13" s="79">
        <f>Prices!AF20</f>
        <v>1.1058909888860716E-3</v>
      </c>
      <c r="Z13" s="79">
        <f>Prices!AG20</f>
        <v>1.0456424726550766E-3</v>
      </c>
      <c r="AA13" s="80">
        <f>Prices!AH20</f>
        <v>3.9826429757608237E-2</v>
      </c>
      <c r="AC13" s="34"/>
      <c r="AD13" s="35"/>
      <c r="AE13" s="35"/>
      <c r="AF13" s="35"/>
      <c r="AG13" s="35"/>
      <c r="AH13" s="35"/>
      <c r="AI13" s="35"/>
      <c r="AJ13" s="35"/>
      <c r="AK13" s="35"/>
      <c r="AL13" s="36">
        <v>1.135842943701231E-31</v>
      </c>
    </row>
    <row r="14" spans="1:38" ht="34">
      <c r="A14" s="53" t="s">
        <v>59</v>
      </c>
      <c r="B14" s="120">
        <f>Prices!AN27/100</f>
        <v>2.1049382716049381E-5</v>
      </c>
      <c r="C14" s="48"/>
    </row>
    <row r="20" spans="1:18" ht="19">
      <c r="A20" s="87" t="s">
        <v>32</v>
      </c>
      <c r="B20" s="86"/>
      <c r="C20" s="86"/>
      <c r="D20" s="86"/>
      <c r="E20" s="86"/>
      <c r="F20" s="86"/>
      <c r="G20" s="86"/>
      <c r="H20" s="86"/>
      <c r="I20" s="86"/>
      <c r="J20" s="86"/>
      <c r="K20" s="86"/>
      <c r="L20" s="86"/>
      <c r="M20" s="86"/>
      <c r="N20" s="86"/>
      <c r="O20" s="86"/>
      <c r="P20" s="86"/>
      <c r="Q20" s="86"/>
      <c r="R20" s="84"/>
    </row>
    <row r="21" spans="1:18" ht="51">
      <c r="A21" s="61" t="s">
        <v>14</v>
      </c>
      <c r="B21" s="61" t="s">
        <v>15</v>
      </c>
      <c r="C21" s="61" t="s">
        <v>16</v>
      </c>
      <c r="D21" s="61" t="s">
        <v>17</v>
      </c>
      <c r="E21" s="61" t="s">
        <v>18</v>
      </c>
      <c r="F21" s="61" t="s">
        <v>19</v>
      </c>
      <c r="G21" s="61" t="s">
        <v>20</v>
      </c>
      <c r="H21" s="61" t="s">
        <v>21</v>
      </c>
      <c r="I21" s="61" t="s">
        <v>22</v>
      </c>
      <c r="J21" s="61" t="s">
        <v>23</v>
      </c>
      <c r="K21" s="61" t="s">
        <v>24</v>
      </c>
      <c r="L21" s="61" t="s">
        <v>25</v>
      </c>
      <c r="M21" s="61" t="s">
        <v>26</v>
      </c>
      <c r="N21" s="62" t="s">
        <v>12</v>
      </c>
      <c r="O21" s="62" t="s">
        <v>30</v>
      </c>
      <c r="P21" s="61" t="s">
        <v>13</v>
      </c>
    </row>
    <row r="22" spans="1:18">
      <c r="A22" s="68">
        <f>SUM(B22:K22)</f>
        <v>1.0000000289232041</v>
      </c>
      <c r="B22" s="65">
        <v>0.3251555854580529</v>
      </c>
      <c r="C22" s="65">
        <v>-0.11020512706041542</v>
      </c>
      <c r="D22" s="65">
        <v>3.5179564875024313E-2</v>
      </c>
      <c r="E22" s="65">
        <v>0.82482255068777766</v>
      </c>
      <c r="F22" s="65">
        <v>-0.58849174040461372</v>
      </c>
      <c r="G22" s="65">
        <v>0.3706251889979838</v>
      </c>
      <c r="H22" s="65">
        <v>-0.1741601416531213</v>
      </c>
      <c r="I22" s="65">
        <v>0.12364038407197547</v>
      </c>
      <c r="J22" s="65">
        <v>0.18688845700925333</v>
      </c>
      <c r="K22" s="65">
        <v>6.5453069412870803E-3</v>
      </c>
      <c r="L22" s="81" cm="1">
        <f t="array" ref="L22">MMULT(MMULT(B22:K22,R4:AA13),TRANSPOSE(B22:K22))</f>
        <v>2.348279580154089E-4</v>
      </c>
      <c r="M22" s="65">
        <f>SQRT(L22)</f>
        <v>1.5324097298549395E-2</v>
      </c>
      <c r="N22" s="82" cm="1">
        <f t="array" ref="N22">MMULT(B22:K22,B4:B13)</f>
        <v>5.9999999664120942E-3</v>
      </c>
      <c r="O22" s="67">
        <v>6.0000000000000001E-3</v>
      </c>
      <c r="P22" s="104">
        <f>(N22-B14)/M22</f>
        <v>0.39016657668063898</v>
      </c>
    </row>
    <row r="23" spans="1:18">
      <c r="A23" s="39"/>
      <c r="D23" s="38"/>
    </row>
    <row r="24" spans="1:18">
      <c r="A24" s="39"/>
      <c r="D24" s="38"/>
    </row>
    <row r="25" spans="1:18" ht="19">
      <c r="A25" s="101" t="s">
        <v>31</v>
      </c>
      <c r="B25" s="84"/>
      <c r="C25" s="84"/>
      <c r="D25" s="85"/>
      <c r="E25" s="84"/>
      <c r="F25" s="84"/>
      <c r="G25" s="84"/>
      <c r="H25" s="84"/>
      <c r="I25" s="84"/>
      <c r="J25" s="84"/>
      <c r="K25" s="84"/>
      <c r="L25" s="84"/>
      <c r="M25" s="84"/>
      <c r="N25" s="84"/>
      <c r="O25" s="84"/>
      <c r="P25" s="84"/>
      <c r="Q25" s="84"/>
      <c r="R25" s="84"/>
    </row>
    <row r="26" spans="1:18">
      <c r="A26" s="61" t="s">
        <v>14</v>
      </c>
    </row>
    <row r="27" spans="1:18">
      <c r="A27" s="91">
        <v>0.99999996186360329</v>
      </c>
      <c r="B27" s="89">
        <v>-0.13479043199776489</v>
      </c>
      <c r="C27" s="89">
        <v>-7.1197516226545271E-2</v>
      </c>
      <c r="D27" s="92">
        <v>0.10762597728980638</v>
      </c>
      <c r="E27" s="89">
        <v>0.24976096614854451</v>
      </c>
      <c r="F27" s="89">
        <v>-0.11923894371128795</v>
      </c>
      <c r="G27" s="89">
        <v>1.0800691503433371</v>
      </c>
      <c r="H27" s="89">
        <v>-7.3792210962794411E-2</v>
      </c>
      <c r="I27" s="89">
        <v>-0.15701481902582681</v>
      </c>
      <c r="J27" s="89">
        <v>0.13735053821924056</v>
      </c>
      <c r="K27" s="89">
        <v>-1.8772748213105719E-2</v>
      </c>
      <c r="L27" s="83">
        <v>2.3599389189719855E-4</v>
      </c>
      <c r="M27" s="89">
        <v>1.5362092692637892E-2</v>
      </c>
      <c r="N27" s="89">
        <v>-3.9999999815890155E-3</v>
      </c>
    </row>
    <row r="28" spans="1:18">
      <c r="A28" s="91">
        <v>0.99999999947725837</v>
      </c>
      <c r="B28" s="89">
        <v>4.9188336560843801E-2</v>
      </c>
      <c r="C28" s="89">
        <v>-8.6800883665330106E-2</v>
      </c>
      <c r="D28" s="92">
        <v>7.8647313470483551E-2</v>
      </c>
      <c r="E28" s="89">
        <v>0.47978567721799786</v>
      </c>
      <c r="F28" s="89">
        <v>-0.30693969979387936</v>
      </c>
      <c r="G28" s="89">
        <v>0.79629113971113341</v>
      </c>
      <c r="H28" s="89">
        <v>-0.11393933511949084</v>
      </c>
      <c r="I28" s="89">
        <v>-4.4752712784364386E-2</v>
      </c>
      <c r="J28" s="89">
        <v>0.15716572465312167</v>
      </c>
      <c r="K28" s="89">
        <v>-8.6455607732572291E-3</v>
      </c>
      <c r="L28" s="83">
        <v>1.8204113544781711E-4</v>
      </c>
      <c r="M28" s="89">
        <v>1.349226205822497E-2</v>
      </c>
      <c r="N28" s="89">
        <v>3.8387380188638354E-11</v>
      </c>
    </row>
    <row r="29" spans="1:18">
      <c r="A29" s="121">
        <v>1.0000009999976816</v>
      </c>
      <c r="B29" s="93">
        <v>9.6395872480824041E-2</v>
      </c>
      <c r="C29" s="93">
        <v>-9.0804632936979587E-2</v>
      </c>
      <c r="D29" s="90">
        <v>7.1220205552867427E-2</v>
      </c>
      <c r="E29" s="93">
        <v>0.53880639503409777</v>
      </c>
      <c r="F29" s="93">
        <v>-0.35510273290260003</v>
      </c>
      <c r="G29" s="93">
        <v>0.72347819014100723</v>
      </c>
      <c r="H29" s="93">
        <v>-0.12424504171540984</v>
      </c>
      <c r="I29" s="93">
        <v>-1.5946033946060895E-2</v>
      </c>
      <c r="J29" s="93">
        <v>0.16224597341058292</v>
      </c>
      <c r="K29" s="93">
        <v>-6.0471951206475865E-3</v>
      </c>
      <c r="L29" s="94">
        <v>1.7969477511354102E-4</v>
      </c>
      <c r="M29" s="93">
        <v>1.3405027978842157E-2</v>
      </c>
      <c r="N29" s="93">
        <v>1.0263808605082145E-3</v>
      </c>
      <c r="O29" s="54" t="s">
        <v>34</v>
      </c>
      <c r="P29" s="54"/>
      <c r="Q29" s="54"/>
    </row>
    <row r="30" spans="1:18">
      <c r="A30" s="122">
        <v>0.99999975382639661</v>
      </c>
      <c r="B30" s="89">
        <v>0.18716397446253391</v>
      </c>
      <c r="C30" s="89">
        <v>-9.8499011455735586E-2</v>
      </c>
      <c r="D30" s="123">
        <v>5.6915461600624398E-2</v>
      </c>
      <c r="E30" s="89">
        <v>0.65229812736911907</v>
      </c>
      <c r="F30" s="89">
        <v>-0.44771202960910961</v>
      </c>
      <c r="G30" s="89">
        <v>0.58346714667642841</v>
      </c>
      <c r="H30" s="89">
        <v>-0.14405012060374336</v>
      </c>
      <c r="I30" s="89">
        <v>3.9440994183523648E-2</v>
      </c>
      <c r="J30" s="89">
        <v>0.1720252301344076</v>
      </c>
      <c r="K30" s="89">
        <v>-1.0500189316519329E-3</v>
      </c>
      <c r="L30" s="83">
        <v>1.8837618262287383E-4</v>
      </c>
      <c r="M30" s="89">
        <v>1.372502031411516E-2</v>
      </c>
      <c r="N30" s="89">
        <v>2.9999001896225392E-3</v>
      </c>
      <c r="O30" s="54"/>
    </row>
    <row r="31" spans="1:18">
      <c r="A31" s="91">
        <v>1.0000000289232041</v>
      </c>
      <c r="B31" s="89">
        <v>0.3251555854580529</v>
      </c>
      <c r="C31" s="89">
        <v>-0.11020512706041542</v>
      </c>
      <c r="D31" s="89">
        <v>3.5179564875024313E-2</v>
      </c>
      <c r="E31" s="89">
        <v>0.82482255068777766</v>
      </c>
      <c r="F31" s="89">
        <v>-0.58849174040461372</v>
      </c>
      <c r="G31" s="89">
        <v>0.3706251889979838</v>
      </c>
      <c r="H31" s="89">
        <v>-0.1741601416531213</v>
      </c>
      <c r="I31" s="89">
        <v>0.12364038407197547</v>
      </c>
      <c r="J31" s="89">
        <v>0.18688845700925333</v>
      </c>
      <c r="K31" s="89">
        <v>6.5453069412870803E-3</v>
      </c>
      <c r="L31" s="83">
        <v>2.348279580154089E-4</v>
      </c>
      <c r="M31" s="89">
        <v>1.5324097298549395E-2</v>
      </c>
      <c r="N31" s="89">
        <v>5.9999999664120942E-3</v>
      </c>
    </row>
    <row r="32" spans="1:18">
      <c r="A32" s="91">
        <v>1.0000000222731111</v>
      </c>
      <c r="B32" s="89">
        <v>0.6011230980093536</v>
      </c>
      <c r="C32" s="89">
        <v>-0.13360981723616663</v>
      </c>
      <c r="D32" s="89">
        <v>-8.2880499939739765E-3</v>
      </c>
      <c r="E32" s="89">
        <v>1.1698576365461097</v>
      </c>
      <c r="F32" s="89">
        <v>-0.87004341289273335</v>
      </c>
      <c r="G32" s="89">
        <v>-5.5039393946755291E-2</v>
      </c>
      <c r="H32" s="89">
        <v>-0.23438053584211044</v>
      </c>
      <c r="I32" s="89">
        <v>0.29203361794468724</v>
      </c>
      <c r="J32" s="89">
        <v>0.21661076480553076</v>
      </c>
      <c r="K32" s="89">
        <v>2.1736114879169439E-2</v>
      </c>
      <c r="L32" s="83">
        <v>4.4807392448561117E-4</v>
      </c>
      <c r="M32" s="89">
        <v>2.1167756718311254E-2</v>
      </c>
      <c r="N32" s="89">
        <v>1.1999999827707553E-2</v>
      </c>
    </row>
    <row r="33" spans="1:15">
      <c r="A33" s="91">
        <v>1.0000000009209149</v>
      </c>
      <c r="B33" s="89">
        <v>0.87709041351678152</v>
      </c>
      <c r="C33" s="89">
        <v>-0.15701482985471693</v>
      </c>
      <c r="D33" s="89">
        <v>-5.1754603649364135E-2</v>
      </c>
      <c r="E33" s="89">
        <v>1.5148966596989235</v>
      </c>
      <c r="F33" s="89">
        <v>-1.1515976407011594</v>
      </c>
      <c r="G33" s="89">
        <v>-0.48070623552648589</v>
      </c>
      <c r="H33" s="89">
        <v>-0.29460064198933517</v>
      </c>
      <c r="I33" s="89">
        <v>0.46042668121872887</v>
      </c>
      <c r="J33" s="89">
        <v>0.24633318791149794</v>
      </c>
      <c r="K33" s="89">
        <v>3.6927010296044574E-2</v>
      </c>
      <c r="L33" s="83">
        <v>8.2177906713310801E-4</v>
      </c>
      <c r="M33" s="89">
        <v>2.8666689155413604E-2</v>
      </c>
      <c r="N33" s="89">
        <v>1.8000000000660259E-2</v>
      </c>
    </row>
    <row r="34" spans="1:15">
      <c r="A34" s="91">
        <v>1.0000000171193462</v>
      </c>
      <c r="B34" s="89">
        <v>1.1530590739069417</v>
      </c>
      <c r="C34" s="89">
        <v>-0.18041984310532952</v>
      </c>
      <c r="D34" s="89">
        <v>-9.5223918630252563E-2</v>
      </c>
      <c r="E34" s="89">
        <v>1.8599310307578172</v>
      </c>
      <c r="F34" s="89">
        <v>-1.4331468326034698</v>
      </c>
      <c r="G34" s="89">
        <v>-0.9063712561495012</v>
      </c>
      <c r="H34" s="89">
        <v>-0.35482194194474775</v>
      </c>
      <c r="I34" s="89">
        <v>0.62882001793733555</v>
      </c>
      <c r="J34" s="89">
        <v>0.27605595811543421</v>
      </c>
      <c r="K34" s="89">
        <v>5.2117728835118442E-2</v>
      </c>
      <c r="L34" s="83">
        <v>1.3559433782624301E-3</v>
      </c>
      <c r="M34" s="89">
        <v>3.6823136453355387E-2</v>
      </c>
      <c r="N34" s="89">
        <v>2.4000000024403299E-2</v>
      </c>
    </row>
    <row r="35" spans="1:15">
      <c r="A35" s="91">
        <v>1.0000001082451357</v>
      </c>
      <c r="B35" s="93">
        <v>3.389593317021244</v>
      </c>
      <c r="C35" s="93">
        <v>-0.49526630324652832</v>
      </c>
      <c r="D35" s="93">
        <v>-1.0879785249371186E-2</v>
      </c>
      <c r="E35" s="93">
        <v>5.0230086529803986</v>
      </c>
      <c r="F35" s="93">
        <v>-4.338547656638438</v>
      </c>
      <c r="G35" s="93">
        <v>-4.3422729069393373</v>
      </c>
      <c r="H35" s="93">
        <v>-0.78635076353065858</v>
      </c>
      <c r="I35" s="93">
        <v>1.9514985405071477</v>
      </c>
      <c r="J35" s="93">
        <v>0.42649033374197048</v>
      </c>
      <c r="K35" s="93">
        <v>0.18272667959870903</v>
      </c>
      <c r="L35" s="94">
        <v>1.1829800433822348E-2</v>
      </c>
      <c r="M35" s="93">
        <v>0.10876488603323385</v>
      </c>
      <c r="N35" s="93">
        <v>7.2977524698118482E-2</v>
      </c>
      <c r="O35" s="54" t="s">
        <v>33</v>
      </c>
    </row>
    <row r="36" spans="1:15">
      <c r="A36" s="91">
        <v>1.0000002737992033</v>
      </c>
      <c r="B36" s="89">
        <v>3.728753273653219</v>
      </c>
      <c r="C36" s="89">
        <v>-0.39886005764019172</v>
      </c>
      <c r="D36" s="89">
        <v>-0.5009231010918439</v>
      </c>
      <c r="E36" s="89">
        <v>5.08027596382205</v>
      </c>
      <c r="F36" s="89">
        <v>-4.0609613453418847</v>
      </c>
      <c r="G36" s="89">
        <v>-4.879261647555464</v>
      </c>
      <c r="H36" s="89">
        <v>-0.91687955141871358</v>
      </c>
      <c r="I36" s="89">
        <v>2.2004892395873412</v>
      </c>
      <c r="J36" s="89">
        <v>0.55346844599340939</v>
      </c>
      <c r="K36" s="89">
        <v>0.19389905379128125</v>
      </c>
      <c r="L36" s="83">
        <v>1.4079174405418485E-2</v>
      </c>
      <c r="M36" s="89">
        <v>0.11865569689407451</v>
      </c>
      <c r="N36" s="89">
        <v>8.0000000201738475E-2</v>
      </c>
    </row>
    <row r="37" spans="1:15">
      <c r="A37" s="124">
        <v>1.0000000846253592</v>
      </c>
      <c r="B37" s="89">
        <v>4.6486448349096845</v>
      </c>
      <c r="C37" s="89">
        <v>-0.47687445420880525</v>
      </c>
      <c r="D37" s="89">
        <v>-0.6458137344094752</v>
      </c>
      <c r="E37" s="89">
        <v>6.2304129510956132</v>
      </c>
      <c r="F37" s="89">
        <v>-4.9994772977160897</v>
      </c>
      <c r="G37" s="89">
        <v>-6.2981566077542395</v>
      </c>
      <c r="H37" s="89">
        <v>-1.1176139949186734</v>
      </c>
      <c r="I37" s="89">
        <v>2.7617984919255245</v>
      </c>
      <c r="J37" s="89">
        <v>0.65254450280395127</v>
      </c>
      <c r="K37" s="89">
        <v>0.24453539289786833</v>
      </c>
      <c r="L37" s="89">
        <v>2.2010656626945142E-2</v>
      </c>
      <c r="M37" s="89">
        <v>0.14835988887480719</v>
      </c>
      <c r="N37" s="89">
        <v>0.10000000001336483</v>
      </c>
    </row>
    <row r="38" spans="1:15">
      <c r="B38" s="1"/>
      <c r="C38" s="1"/>
      <c r="D38" s="1"/>
      <c r="E38" s="1"/>
      <c r="F38" s="1"/>
      <c r="G38" s="1"/>
      <c r="H38" s="1"/>
      <c r="I38" s="1"/>
      <c r="J38" s="1"/>
      <c r="K38" s="1"/>
      <c r="M38" s="1"/>
      <c r="N38" s="1"/>
    </row>
    <row r="39" spans="1:15">
      <c r="M39" s="165" t="s">
        <v>39</v>
      </c>
      <c r="N39" s="166"/>
    </row>
    <row r="40" spans="1:15">
      <c r="L40" s="136" t="s">
        <v>35</v>
      </c>
      <c r="M40" s="131">
        <v>0</v>
      </c>
      <c r="N40" s="132">
        <f>B14</f>
        <v>2.1049382716049381E-5</v>
      </c>
    </row>
    <row r="41" spans="1:15">
      <c r="B41" s="95"/>
      <c r="C41" s="95"/>
      <c r="D41" s="95"/>
      <c r="E41" s="167" t="s">
        <v>40</v>
      </c>
      <c r="F41" s="168"/>
      <c r="G41" s="168"/>
      <c r="H41" s="169"/>
      <c r="I41" s="95"/>
      <c r="J41" s="95"/>
      <c r="K41" s="133"/>
      <c r="L41" s="134" t="s">
        <v>36</v>
      </c>
      <c r="M41" s="135">
        <f>M35</f>
        <v>0.10876488603323385</v>
      </c>
      <c r="N41" s="135">
        <f>N35</f>
        <v>7.2977524698118482E-2</v>
      </c>
    </row>
    <row r="42" spans="1:15">
      <c r="E42" s="170"/>
      <c r="F42" s="171"/>
      <c r="G42" s="171"/>
      <c r="H42" s="172"/>
      <c r="L42" s="38"/>
      <c r="M42" s="99"/>
      <c r="N42" s="99"/>
    </row>
    <row r="43" spans="1:15" ht="51">
      <c r="E43" s="125" t="s">
        <v>37</v>
      </c>
      <c r="F43" s="125" t="s">
        <v>41</v>
      </c>
      <c r="G43" s="125" t="s">
        <v>38</v>
      </c>
      <c r="H43" s="125" t="s">
        <v>28</v>
      </c>
      <c r="L43" s="130" t="s">
        <v>65</v>
      </c>
      <c r="M43" s="103"/>
      <c r="N43" s="103"/>
    </row>
    <row r="44" spans="1:15">
      <c r="E44" s="117">
        <f>2*52</f>
        <v>104</v>
      </c>
      <c r="F44" s="117">
        <f>($N$35-$B$14)/(E44*($M$35^2))</f>
        <v>5.9299780606167307E-2</v>
      </c>
      <c r="G44" s="126">
        <f>$B$14 + F44*($N$35-$B$14)</f>
        <v>4.3473523627186742E-3</v>
      </c>
      <c r="H44" s="127">
        <f>F44*$M$35</f>
        <v>6.4497338794255584E-3</v>
      </c>
      <c r="L44" s="117">
        <v>0</v>
      </c>
      <c r="M44" s="128">
        <f>$M$35*L44</f>
        <v>0</v>
      </c>
      <c r="N44" s="129">
        <f>$B$14+L44*($N$35-$B$14)</f>
        <v>2.1049382716049381E-5</v>
      </c>
    </row>
    <row r="45" spans="1:15">
      <c r="E45" s="117">
        <f>3*52</f>
        <v>156</v>
      </c>
      <c r="F45" s="117">
        <f t="shared" ref="F45:F47" si="0">($N$35-$B$14)/(E45*($M$35^2))</f>
        <v>3.9533187070778207E-2</v>
      </c>
      <c r="G45" s="126">
        <f t="shared" ref="G45:G47" si="1">$B$14 + F45*($N$35-$B$14)</f>
        <v>2.9052513693844663E-3</v>
      </c>
      <c r="H45" s="127">
        <f t="shared" ref="H45:H47" si="2">F45*$M$35</f>
        <v>4.2998225862837056E-3</v>
      </c>
      <c r="L45" s="117">
        <v>0.25</v>
      </c>
      <c r="M45" s="128">
        <f t="shared" ref="M45:M50" si="3">$M$35*L45</f>
        <v>2.7191221508308463E-2</v>
      </c>
      <c r="N45" s="128">
        <f t="shared" ref="N45:N50" si="4">$B$14+L45*($N$35-$B$14)</f>
        <v>1.8260168211566657E-2</v>
      </c>
    </row>
    <row r="46" spans="1:15">
      <c r="E46" s="117">
        <f>4*52</f>
        <v>208</v>
      </c>
      <c r="F46" s="117">
        <f t="shared" si="0"/>
        <v>2.9649890303083654E-2</v>
      </c>
      <c r="G46" s="126">
        <f t="shared" si="1"/>
        <v>2.1842008727173618E-3</v>
      </c>
      <c r="H46" s="127">
        <f t="shared" si="2"/>
        <v>3.2248669397127792E-3</v>
      </c>
      <c r="L46" s="117">
        <v>0.5</v>
      </c>
      <c r="M46" s="128">
        <f t="shared" si="3"/>
        <v>5.4382443016616926E-2</v>
      </c>
      <c r="N46" s="128">
        <f t="shared" si="4"/>
        <v>3.6499287040417265E-2</v>
      </c>
    </row>
    <row r="47" spans="1:15">
      <c r="E47" s="117">
        <f>5*52</f>
        <v>260</v>
      </c>
      <c r="F47" s="117">
        <f t="shared" si="0"/>
        <v>2.3719912242466924E-2</v>
      </c>
      <c r="G47" s="126">
        <f t="shared" si="1"/>
        <v>1.7515705747170995E-3</v>
      </c>
      <c r="H47" s="127">
        <f t="shared" si="2"/>
        <v>2.5798935517702235E-3</v>
      </c>
      <c r="L47" s="117">
        <v>0.75</v>
      </c>
      <c r="M47" s="128">
        <f t="shared" si="3"/>
        <v>8.1573664524925385E-2</v>
      </c>
      <c r="N47" s="128">
        <f t="shared" si="4"/>
        <v>5.473840586926787E-2</v>
      </c>
    </row>
    <row r="48" spans="1:15">
      <c r="L48" s="117">
        <v>1</v>
      </c>
      <c r="M48" s="128">
        <f t="shared" si="3"/>
        <v>0.10876488603323385</v>
      </c>
      <c r="N48" s="128">
        <f t="shared" si="4"/>
        <v>7.2977524698118482E-2</v>
      </c>
    </row>
    <row r="49" spans="1:16">
      <c r="L49" s="117">
        <v>1.25</v>
      </c>
      <c r="M49" s="128">
        <f t="shared" si="3"/>
        <v>0.1359561075415423</v>
      </c>
      <c r="N49" s="128">
        <f t="shared" si="4"/>
        <v>9.1216643526969093E-2</v>
      </c>
    </row>
    <row r="50" spans="1:16">
      <c r="L50" s="117">
        <v>1.5</v>
      </c>
      <c r="M50" s="128">
        <f t="shared" si="3"/>
        <v>0.16314732904985077</v>
      </c>
      <c r="N50" s="128">
        <f t="shared" si="4"/>
        <v>0.10945576235581969</v>
      </c>
    </row>
    <row r="51" spans="1:16">
      <c r="E51" s="39"/>
      <c r="F51" s="95"/>
      <c r="G51" s="95"/>
      <c r="H51" s="95"/>
      <c r="I51" s="95"/>
      <c r="J51" s="95"/>
      <c r="K51" s="95"/>
      <c r="L51" s="95"/>
      <c r="M51" s="95"/>
      <c r="N51" s="95"/>
      <c r="O51" s="95"/>
      <c r="P51" s="96"/>
    </row>
    <row r="52" spans="1:16" ht="19">
      <c r="A52" s="87" t="s">
        <v>45</v>
      </c>
      <c r="B52" s="84"/>
      <c r="C52" s="84"/>
      <c r="D52" s="85"/>
      <c r="E52" s="84"/>
      <c r="F52" s="84"/>
      <c r="G52" s="84"/>
      <c r="H52" s="84"/>
      <c r="I52" s="84"/>
      <c r="J52" s="84"/>
      <c r="K52" s="84"/>
      <c r="L52" s="84"/>
      <c r="M52" s="84"/>
      <c r="N52" s="84"/>
    </row>
    <row r="53" spans="1:16">
      <c r="A53" s="179" t="s">
        <v>69</v>
      </c>
      <c r="B53" s="26"/>
    </row>
    <row r="54" spans="1:16">
      <c r="A54" s="178" t="s">
        <v>71</v>
      </c>
      <c r="B54" s="178"/>
      <c r="C54" s="178"/>
      <c r="D54" s="178"/>
      <c r="E54" s="178"/>
      <c r="F54" s="178"/>
      <c r="G54" s="178"/>
      <c r="H54" s="178"/>
      <c r="I54" s="178"/>
      <c r="J54" s="178"/>
      <c r="K54" s="178"/>
      <c r="L54" s="178"/>
      <c r="M54" s="178"/>
    </row>
    <row r="55" spans="1:16">
      <c r="A55" s="178" t="s">
        <v>159</v>
      </c>
      <c r="B55" s="178"/>
      <c r="C55" s="178"/>
      <c r="D55" s="178"/>
      <c r="E55" s="178"/>
      <c r="F55" s="178"/>
      <c r="G55" s="178"/>
      <c r="H55" s="178"/>
      <c r="I55" s="178"/>
      <c r="J55" s="178"/>
      <c r="K55" s="178"/>
      <c r="L55" s="178"/>
      <c r="M55" s="178"/>
    </row>
    <row r="56" spans="1:16">
      <c r="A56" t="s">
        <v>72</v>
      </c>
    </row>
    <row r="57" spans="1:16">
      <c r="A57" t="s">
        <v>73</v>
      </c>
    </row>
    <row r="58" spans="1:16">
      <c r="B58" s="11"/>
    </row>
    <row r="59" spans="1:16">
      <c r="A59" s="176" t="s">
        <v>70</v>
      </c>
      <c r="B59" s="11"/>
    </row>
    <row r="60" spans="1:16">
      <c r="A60" t="s">
        <v>74</v>
      </c>
    </row>
    <row r="61" spans="1:16">
      <c r="A61" t="s">
        <v>75</v>
      </c>
    </row>
    <row r="63" spans="1:16">
      <c r="A63" s="176" t="s">
        <v>76</v>
      </c>
    </row>
    <row r="64" spans="1:16">
      <c r="A64" t="s">
        <v>77</v>
      </c>
    </row>
    <row r="65" spans="1:1">
      <c r="A65" s="181" t="s">
        <v>78</v>
      </c>
    </row>
    <row r="67" spans="1:1">
      <c r="A67" s="176" t="s">
        <v>154</v>
      </c>
    </row>
    <row r="68" spans="1:1">
      <c r="A68" t="s">
        <v>155</v>
      </c>
    </row>
    <row r="69" spans="1:1">
      <c r="A69" s="181" t="s">
        <v>156</v>
      </c>
    </row>
    <row r="71" spans="1:1">
      <c r="A71" s="181" t="s">
        <v>157</v>
      </c>
    </row>
    <row r="72" spans="1:1">
      <c r="A72" s="181" t="s">
        <v>158</v>
      </c>
    </row>
  </sheetData>
  <mergeCells count="2">
    <mergeCell ref="M39:N39"/>
    <mergeCell ref="E41:H42"/>
  </mergeCells>
  <phoneticPr fontId="9" type="noConversion"/>
  <conditionalFormatting sqref="F4:O13">
    <cfRule type="colorScale" priority="1">
      <colorScale>
        <cfvo type="num" val="-1"/>
        <cfvo type="num" val="0"/>
        <cfvo type="num" val="1"/>
        <color theme="5"/>
        <color theme="0"/>
        <color theme="4"/>
      </colorScale>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5F36E-D4B5-CB47-B269-787743527564}">
  <dimension ref="A1:S82"/>
  <sheetViews>
    <sheetView showGridLines="0" topLeftCell="A28" zoomScale="87" workbookViewId="0">
      <selection activeCell="K78" sqref="K78"/>
    </sheetView>
  </sheetViews>
  <sheetFormatPr baseColWidth="10" defaultColWidth="10.6640625" defaultRowHeight="16"/>
  <sheetData>
    <row r="1" spans="1:19" ht="22">
      <c r="A1" s="173" t="s">
        <v>29</v>
      </c>
      <c r="B1" s="173"/>
      <c r="C1" s="173"/>
      <c r="D1" s="173"/>
      <c r="E1" s="173"/>
      <c r="F1" s="173"/>
      <c r="G1" s="173"/>
      <c r="H1" s="173"/>
      <c r="I1" s="173"/>
      <c r="J1" s="173"/>
      <c r="K1" s="173"/>
      <c r="L1" s="173"/>
      <c r="M1" s="173"/>
      <c r="N1" s="173"/>
      <c r="O1" s="173"/>
      <c r="P1" s="63"/>
      <c r="Q1" s="63"/>
      <c r="R1" s="63"/>
      <c r="S1" s="63"/>
    </row>
    <row r="3" spans="1:19" ht="22">
      <c r="A3" s="194" t="s">
        <v>89</v>
      </c>
      <c r="B3" s="177"/>
      <c r="C3" s="177"/>
      <c r="D3" s="177"/>
      <c r="E3" s="177"/>
      <c r="F3" s="177"/>
      <c r="G3" s="177"/>
      <c r="H3" s="177"/>
      <c r="I3" s="177"/>
      <c r="J3" s="177"/>
      <c r="K3" s="177"/>
      <c r="L3" s="177"/>
      <c r="M3" s="177"/>
      <c r="N3" s="177"/>
      <c r="O3" s="177"/>
      <c r="P3" s="177"/>
      <c r="Q3" s="177"/>
      <c r="R3" s="177"/>
      <c r="S3" s="177"/>
    </row>
    <row r="4" spans="1:19" ht="19">
      <c r="A4" s="188" t="s">
        <v>93</v>
      </c>
      <c r="B4" s="55"/>
    </row>
    <row r="5" spans="1:19" ht="19">
      <c r="A5" s="188" t="s">
        <v>92</v>
      </c>
      <c r="B5" s="56"/>
    </row>
    <row r="6" spans="1:19" ht="19">
      <c r="A6" s="187"/>
      <c r="B6" s="56"/>
    </row>
    <row r="7" spans="1:19" ht="19">
      <c r="A7" s="187" t="s">
        <v>90</v>
      </c>
      <c r="B7" s="56"/>
    </row>
    <row r="8" spans="1:19" ht="19">
      <c r="A8" s="180" t="s">
        <v>91</v>
      </c>
      <c r="B8" s="56"/>
    </row>
    <row r="9" spans="1:19" ht="19">
      <c r="A9" s="180" t="s">
        <v>94</v>
      </c>
      <c r="B9" s="56"/>
    </row>
    <row r="10" spans="1:19" ht="19">
      <c r="A10" s="188"/>
      <c r="B10" s="56"/>
    </row>
    <row r="11" spans="1:19" ht="19">
      <c r="A11" s="185" t="s">
        <v>95</v>
      </c>
      <c r="B11" s="56"/>
    </row>
    <row r="12" spans="1:19" ht="19">
      <c r="A12" s="180" t="s">
        <v>96</v>
      </c>
      <c r="B12" s="56"/>
    </row>
    <row r="13" spans="1:19" ht="19">
      <c r="A13" s="188" t="s">
        <v>97</v>
      </c>
      <c r="B13" s="56"/>
    </row>
    <row r="14" spans="1:19" ht="19">
      <c r="A14" s="64"/>
      <c r="B14" s="64"/>
    </row>
    <row r="15" spans="1:19" ht="19">
      <c r="A15" s="185" t="s">
        <v>98</v>
      </c>
      <c r="B15" s="64"/>
    </row>
    <row r="16" spans="1:19" ht="19">
      <c r="A16" s="64" t="s">
        <v>99</v>
      </c>
      <c r="B16" s="64"/>
    </row>
    <row r="17" spans="1:19" ht="19">
      <c r="A17" s="180" t="s">
        <v>100</v>
      </c>
      <c r="B17" s="64"/>
    </row>
    <row r="18" spans="1:19" ht="19">
      <c r="A18" s="64"/>
      <c r="B18" s="64"/>
    </row>
    <row r="19" spans="1:19" ht="22">
      <c r="A19" s="192" t="s">
        <v>101</v>
      </c>
      <c r="B19" s="193"/>
      <c r="C19" s="177"/>
      <c r="D19" s="177"/>
      <c r="E19" s="177"/>
      <c r="F19" s="177"/>
      <c r="G19" s="177"/>
      <c r="H19" s="177"/>
      <c r="I19" s="177"/>
      <c r="J19" s="177"/>
      <c r="K19" s="177"/>
      <c r="L19" s="177"/>
      <c r="M19" s="177"/>
      <c r="N19" s="177"/>
      <c r="O19" s="177"/>
      <c r="P19" s="177"/>
      <c r="Q19" s="177"/>
      <c r="R19" s="177"/>
      <c r="S19" s="177"/>
    </row>
    <row r="20" spans="1:19" ht="19">
      <c r="A20" s="184" t="s">
        <v>102</v>
      </c>
    </row>
    <row r="21" spans="1:19" ht="19">
      <c r="A21" s="190" t="s">
        <v>103</v>
      </c>
      <c r="B21" s="96"/>
      <c r="C21" s="96"/>
      <c r="D21" s="96"/>
      <c r="E21" s="96"/>
      <c r="F21" s="26"/>
      <c r="G21" s="26"/>
      <c r="H21" s="26"/>
      <c r="I21" s="26"/>
      <c r="J21" s="26"/>
      <c r="K21" s="26"/>
      <c r="L21" s="26"/>
      <c r="M21" s="26"/>
      <c r="N21" s="26"/>
      <c r="O21" s="26"/>
      <c r="P21" s="26"/>
      <c r="Q21" s="26"/>
      <c r="R21" s="26"/>
      <c r="S21" s="26"/>
    </row>
    <row r="22" spans="1:19" ht="19">
      <c r="A22" s="180" t="s">
        <v>104</v>
      </c>
    </row>
    <row r="23" spans="1:19" ht="18">
      <c r="A23" s="57"/>
    </row>
    <row r="24" spans="1:19" ht="19">
      <c r="A24" s="191" t="s">
        <v>105</v>
      </c>
    </row>
    <row r="25" spans="1:19" ht="19">
      <c r="A25" s="182" t="s">
        <v>106</v>
      </c>
    </row>
    <row r="26" spans="1:19" ht="19">
      <c r="A26" s="180" t="s">
        <v>107</v>
      </c>
    </row>
    <row r="28" spans="1:19" ht="19">
      <c r="A28" s="187" t="s">
        <v>108</v>
      </c>
    </row>
    <row r="29" spans="1:19" ht="19">
      <c r="A29" s="182" t="s">
        <v>109</v>
      </c>
    </row>
    <row r="30" spans="1:19" ht="19">
      <c r="A30" s="182" t="s">
        <v>110</v>
      </c>
      <c r="B30" s="26"/>
      <c r="C30" s="26"/>
      <c r="D30" s="26"/>
      <c r="E30" s="26"/>
      <c r="F30" s="26"/>
      <c r="G30" s="26"/>
      <c r="H30" s="26"/>
      <c r="I30" s="26"/>
      <c r="J30" s="26"/>
      <c r="K30" s="26"/>
      <c r="L30" s="26"/>
      <c r="M30" s="26"/>
      <c r="N30" s="26"/>
      <c r="O30" s="26"/>
      <c r="P30" s="26"/>
      <c r="Q30" s="26"/>
      <c r="R30" s="26"/>
      <c r="S30" s="26"/>
    </row>
    <row r="31" spans="1:19" ht="22">
      <c r="A31" s="189"/>
      <c r="B31" s="96"/>
      <c r="C31" s="96"/>
      <c r="D31" s="96"/>
      <c r="E31" s="96"/>
      <c r="F31" s="26"/>
      <c r="G31" s="26"/>
      <c r="H31" s="26"/>
      <c r="I31" s="26"/>
      <c r="J31" s="26"/>
      <c r="K31" s="26"/>
      <c r="L31" s="26"/>
      <c r="M31" s="26"/>
      <c r="N31" s="26"/>
      <c r="O31" s="26"/>
      <c r="P31" s="26"/>
      <c r="Q31" s="26"/>
      <c r="R31" s="26"/>
      <c r="S31" s="26"/>
    </row>
    <row r="32" spans="1:19" ht="22">
      <c r="A32" s="195" t="s">
        <v>111</v>
      </c>
      <c r="B32" s="177"/>
      <c r="C32" s="177"/>
      <c r="D32" s="177"/>
      <c r="E32" s="177"/>
      <c r="F32" s="177"/>
      <c r="G32" s="177"/>
      <c r="H32" s="177"/>
      <c r="I32" s="177"/>
      <c r="J32" s="177"/>
      <c r="K32" s="177"/>
      <c r="L32" s="177"/>
      <c r="M32" s="177"/>
      <c r="N32" s="177"/>
      <c r="O32" s="177"/>
      <c r="P32" s="177"/>
      <c r="Q32" s="177"/>
      <c r="R32" s="177"/>
      <c r="S32" s="177"/>
    </row>
    <row r="33" spans="1:7" ht="19">
      <c r="A33" s="187" t="s">
        <v>112</v>
      </c>
    </row>
    <row r="34" spans="1:7" ht="19">
      <c r="A34" s="55" t="s">
        <v>113</v>
      </c>
    </row>
    <row r="35" spans="1:7" ht="19">
      <c r="A35" s="180" t="s">
        <v>114</v>
      </c>
    </row>
    <row r="36" spans="1:7" ht="19">
      <c r="A36" s="55"/>
    </row>
    <row r="37" spans="1:7" ht="19">
      <c r="A37" s="187" t="s">
        <v>115</v>
      </c>
    </row>
    <row r="38" spans="1:7" ht="19">
      <c r="A38" s="55" t="s">
        <v>116</v>
      </c>
    </row>
    <row r="39" spans="1:7" ht="19">
      <c r="A39" s="182" t="s">
        <v>117</v>
      </c>
    </row>
    <row r="40" spans="1:7" ht="19">
      <c r="A40" s="55"/>
    </row>
    <row r="41" spans="1:7" ht="19">
      <c r="A41" s="187" t="s">
        <v>118</v>
      </c>
      <c r="B41" s="64"/>
      <c r="C41" s="64"/>
      <c r="D41" s="64"/>
      <c r="E41" s="64"/>
      <c r="F41" s="64"/>
      <c r="G41" s="64"/>
    </row>
    <row r="42" spans="1:7" ht="19">
      <c r="A42" s="64" t="s">
        <v>119</v>
      </c>
    </row>
    <row r="43" spans="1:7" ht="19">
      <c r="A43" s="55" t="s">
        <v>120</v>
      </c>
    </row>
    <row r="44" spans="1:7" ht="18">
      <c r="A44" s="57"/>
    </row>
    <row r="45" spans="1:7" ht="19">
      <c r="A45" s="184" t="s">
        <v>121</v>
      </c>
    </row>
    <row r="46" spans="1:7" ht="19">
      <c r="A46" s="183" t="s">
        <v>122</v>
      </c>
    </row>
    <row r="47" spans="1:7" ht="19">
      <c r="A47" s="64" t="s">
        <v>123</v>
      </c>
    </row>
    <row r="48" spans="1:7" ht="19">
      <c r="A48" s="182"/>
    </row>
    <row r="49" spans="1:19" ht="22">
      <c r="A49" s="192" t="s">
        <v>124</v>
      </c>
      <c r="B49" s="177"/>
      <c r="C49" s="177"/>
      <c r="D49" s="177"/>
      <c r="E49" s="177"/>
      <c r="F49" s="177"/>
      <c r="G49" s="177"/>
      <c r="H49" s="177"/>
      <c r="I49" s="177"/>
      <c r="J49" s="177"/>
      <c r="K49" s="177"/>
      <c r="L49" s="177"/>
      <c r="M49" s="177"/>
      <c r="N49" s="177"/>
      <c r="O49" s="177"/>
      <c r="P49" s="177"/>
      <c r="Q49" s="177"/>
      <c r="R49" s="177"/>
      <c r="S49" s="177"/>
    </row>
    <row r="50" spans="1:19" ht="19">
      <c r="A50" s="183" t="s">
        <v>125</v>
      </c>
    </row>
    <row r="51" spans="1:19" ht="19">
      <c r="A51" s="183" t="s">
        <v>126</v>
      </c>
    </row>
    <row r="52" spans="1:19" ht="19">
      <c r="A52" s="180" t="s">
        <v>127</v>
      </c>
    </row>
    <row r="53" spans="1:19" ht="19">
      <c r="A53" s="64" t="s">
        <v>128</v>
      </c>
    </row>
    <row r="54" spans="1:19" ht="19">
      <c r="A54" s="188" t="s">
        <v>129</v>
      </c>
    </row>
    <row r="55" spans="1:19" ht="19">
      <c r="A55" s="184"/>
    </row>
    <row r="56" spans="1:19" ht="22">
      <c r="A56" s="192" t="s">
        <v>130</v>
      </c>
      <c r="B56" s="177"/>
      <c r="C56" s="177"/>
      <c r="D56" s="177"/>
      <c r="E56" s="177"/>
      <c r="F56" s="177"/>
      <c r="G56" s="177"/>
      <c r="H56" s="177"/>
      <c r="I56" s="177"/>
      <c r="J56" s="177"/>
      <c r="K56" s="177"/>
      <c r="L56" s="177"/>
      <c r="M56" s="177"/>
      <c r="N56" s="177"/>
      <c r="O56" s="177"/>
      <c r="P56" s="177"/>
      <c r="Q56" s="177"/>
      <c r="R56" s="177"/>
      <c r="S56" s="177"/>
    </row>
    <row r="57" spans="1:19" ht="19">
      <c r="A57" s="180" t="s">
        <v>131</v>
      </c>
    </row>
    <row r="58" spans="1:19" ht="19">
      <c r="A58" s="183" t="s">
        <v>132</v>
      </c>
    </row>
    <row r="59" spans="1:19" ht="19">
      <c r="A59" s="180" t="s">
        <v>133</v>
      </c>
    </row>
    <row r="60" spans="1:19" ht="19">
      <c r="A60" s="64" t="s">
        <v>134</v>
      </c>
    </row>
    <row r="61" spans="1:19" ht="19">
      <c r="A61" s="64" t="s">
        <v>135</v>
      </c>
    </row>
    <row r="62" spans="1:19" ht="19">
      <c r="A62" s="183" t="s">
        <v>136</v>
      </c>
    </row>
    <row r="63" spans="1:19" ht="19">
      <c r="A63" s="183" t="s">
        <v>137</v>
      </c>
    </row>
    <row r="64" spans="1:19" ht="19">
      <c r="A64" s="183"/>
    </row>
    <row r="65" spans="1:19" ht="22">
      <c r="A65" s="195" t="s">
        <v>138</v>
      </c>
      <c r="B65" s="177"/>
      <c r="C65" s="177"/>
      <c r="D65" s="177"/>
      <c r="E65" s="177"/>
      <c r="F65" s="177"/>
      <c r="G65" s="177"/>
      <c r="H65" s="177"/>
      <c r="I65" s="177"/>
      <c r="J65" s="177"/>
      <c r="K65" s="177"/>
      <c r="L65" s="177"/>
      <c r="M65" s="177"/>
      <c r="N65" s="177"/>
      <c r="O65" s="177"/>
      <c r="P65" s="177"/>
      <c r="Q65" s="177"/>
      <c r="R65" s="177"/>
      <c r="S65" s="177"/>
    </row>
    <row r="66" spans="1:19" ht="19">
      <c r="A66" s="183" t="s">
        <v>139</v>
      </c>
    </row>
    <row r="67" spans="1:19" ht="19">
      <c r="A67" s="180" t="s">
        <v>140</v>
      </c>
    </row>
    <row r="68" spans="1:19" ht="19">
      <c r="A68" s="180"/>
    </row>
    <row r="69" spans="1:19" ht="22">
      <c r="A69" s="196" t="s">
        <v>141</v>
      </c>
      <c r="B69" s="177"/>
      <c r="C69" s="177"/>
      <c r="D69" s="177"/>
      <c r="E69" s="177"/>
      <c r="F69" s="177"/>
      <c r="G69" s="177"/>
      <c r="H69" s="177"/>
      <c r="I69" s="177"/>
      <c r="J69" s="177"/>
      <c r="K69" s="177"/>
      <c r="L69" s="177"/>
      <c r="M69" s="177"/>
      <c r="N69" s="177"/>
      <c r="O69" s="177"/>
      <c r="P69" s="177"/>
      <c r="Q69" s="177"/>
      <c r="R69" s="177"/>
      <c r="S69" s="177"/>
    </row>
    <row r="70" spans="1:19" ht="19">
      <c r="A70" s="183" t="s">
        <v>142</v>
      </c>
    </row>
    <row r="71" spans="1:19" ht="19">
      <c r="A71" s="64" t="s">
        <v>143</v>
      </c>
    </row>
    <row r="72" spans="1:19" ht="19">
      <c r="A72" s="180" t="s">
        <v>144</v>
      </c>
    </row>
    <row r="73" spans="1:19" ht="19">
      <c r="A73" s="180" t="s">
        <v>145</v>
      </c>
    </row>
    <row r="74" spans="1:19" ht="19">
      <c r="A74" s="183" t="s">
        <v>146</v>
      </c>
    </row>
    <row r="76" spans="1:19" ht="22">
      <c r="A76" s="196" t="s">
        <v>147</v>
      </c>
      <c r="B76" s="177"/>
      <c r="C76" s="177"/>
      <c r="D76" s="177"/>
      <c r="E76" s="177"/>
      <c r="F76" s="177"/>
      <c r="G76" s="177"/>
      <c r="H76" s="177"/>
      <c r="I76" s="177"/>
      <c r="J76" s="177"/>
      <c r="K76" s="177"/>
      <c r="L76" s="177"/>
      <c r="M76" s="177"/>
      <c r="N76" s="177"/>
      <c r="O76" s="177"/>
      <c r="P76" s="177"/>
      <c r="Q76" s="177"/>
      <c r="R76" s="177"/>
      <c r="S76" s="177"/>
    </row>
    <row r="77" spans="1:19" ht="19">
      <c r="A77" s="64" t="s">
        <v>148</v>
      </c>
    </row>
    <row r="78" spans="1:19" ht="19">
      <c r="A78" s="55" t="s">
        <v>149</v>
      </c>
    </row>
    <row r="79" spans="1:19" ht="19">
      <c r="A79" s="55" t="s">
        <v>150</v>
      </c>
    </row>
    <row r="80" spans="1:19" ht="19">
      <c r="A80" s="55" t="s">
        <v>151</v>
      </c>
    </row>
    <row r="81" spans="1:1" ht="19">
      <c r="A81" s="55" t="s">
        <v>152</v>
      </c>
    </row>
    <row r="82" spans="1:1" ht="19">
      <c r="A82" s="180" t="s">
        <v>153</v>
      </c>
    </row>
  </sheetData>
  <mergeCells count="1">
    <mergeCell ref="A1:O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0FEE2-7E4B-DD42-A7E1-58400453D36A}">
  <dimension ref="A2:AA57"/>
  <sheetViews>
    <sheetView showGridLines="0" topLeftCell="A18" zoomScale="86" zoomScaleNormal="60" workbookViewId="0">
      <selection activeCell="A53" sqref="A53"/>
    </sheetView>
  </sheetViews>
  <sheetFormatPr baseColWidth="10" defaultColWidth="10.6640625" defaultRowHeight="16"/>
  <cols>
    <col min="1" max="1" width="20.1640625" customWidth="1"/>
    <col min="2" max="11" width="11" bestFit="1" customWidth="1"/>
    <col min="12" max="12" width="12.33203125" bestFit="1" customWidth="1"/>
    <col min="13" max="16" width="11" bestFit="1" customWidth="1"/>
    <col min="17" max="17" width="13.5" bestFit="1" customWidth="1"/>
    <col min="18" max="19" width="11.1640625" bestFit="1" customWidth="1"/>
    <col min="20" max="20" width="11" bestFit="1" customWidth="1"/>
    <col min="21" max="27" width="11.1640625" bestFit="1" customWidth="1"/>
  </cols>
  <sheetData>
    <row r="2" spans="1:27" ht="48">
      <c r="A2" s="45" t="s">
        <v>27</v>
      </c>
      <c r="B2" s="107" t="s">
        <v>12</v>
      </c>
      <c r="C2" s="42" t="s">
        <v>28</v>
      </c>
      <c r="D2" s="40"/>
      <c r="E2" s="50" t="str" cm="1">
        <f t="array" ref="E2:O12">Prices!X25:AH35</f>
        <v>Correlations</v>
      </c>
      <c r="F2" s="41" t="str">
        <v>SPY</v>
      </c>
      <c r="G2" s="41" t="str">
        <v>VGK</v>
      </c>
      <c r="H2" s="41" t="str">
        <v>VWO</v>
      </c>
      <c r="I2" s="41" t="str">
        <v>IEF</v>
      </c>
      <c r="J2" s="41" t="str">
        <v>LQD</v>
      </c>
      <c r="K2" s="41" t="str">
        <v>TIP</v>
      </c>
      <c r="L2" s="41" t="str">
        <v>VNQ</v>
      </c>
      <c r="M2" s="41" t="str">
        <v>GLD</v>
      </c>
      <c r="N2" s="41" t="str">
        <v>DBC</v>
      </c>
      <c r="O2" s="41" t="str">
        <v>BTC</v>
      </c>
      <c r="P2" s="40"/>
      <c r="Q2" s="51" t="str" cm="1">
        <f t="array" ref="Q2:AA12">Prices!X10:AH20</f>
        <v>Covariances of monthly returns</v>
      </c>
      <c r="R2" s="41" t="str">
        <v>SPY</v>
      </c>
      <c r="S2" s="41" t="str">
        <v>VGK</v>
      </c>
      <c r="T2" s="41" t="str">
        <v>VWO</v>
      </c>
      <c r="U2" s="41" t="str">
        <v>IEF</v>
      </c>
      <c r="V2" s="41" t="str">
        <v>LQD</v>
      </c>
      <c r="W2" s="41" t="str">
        <v>TIP</v>
      </c>
      <c r="X2" s="41" t="str">
        <v>VNQ</v>
      </c>
      <c r="Y2" s="41" t="str">
        <v>GLD</v>
      </c>
      <c r="Z2" s="41" t="str">
        <v>DBC</v>
      </c>
      <c r="AA2" s="41" t="str">
        <v>BTC</v>
      </c>
    </row>
    <row r="3" spans="1:27">
      <c r="A3" s="43" t="str">
        <f>Prices!Y$3</f>
        <v>SPY</v>
      </c>
      <c r="B3" s="44">
        <f>Prices!Y4</f>
        <v>1.3353828920087674E-2</v>
      </c>
      <c r="C3" s="44">
        <f>Prices!Y6</f>
        <v>4.7649232574071006E-2</v>
      </c>
      <c r="E3" s="10" t="str">
        <v>SPY</v>
      </c>
      <c r="F3" s="13">
        <v>1.0000000000000002</v>
      </c>
      <c r="G3" s="14">
        <v>0.83459353197024411</v>
      </c>
      <c r="H3" s="14">
        <v>0.68918815065026184</v>
      </c>
      <c r="I3" s="14">
        <v>0.24578785880324971</v>
      </c>
      <c r="J3" s="14">
        <v>0.66292545162911165</v>
      </c>
      <c r="K3" s="14">
        <v>0.5869997068580286</v>
      </c>
      <c r="L3" s="14">
        <v>0.81607364727359155</v>
      </c>
      <c r="M3" s="14">
        <v>0.15773992785337076</v>
      </c>
      <c r="N3" s="14">
        <v>0.41577682654450299</v>
      </c>
      <c r="O3" s="15">
        <v>0.46096584674204782</v>
      </c>
      <c r="Q3" s="10" t="str">
        <v>SPY</v>
      </c>
      <c r="R3" s="72">
        <v>2.27044936489791E-3</v>
      </c>
      <c r="S3" s="73">
        <v>2.0767105354332401E-3</v>
      </c>
      <c r="T3" s="73">
        <v>1.5167281467042557E-3</v>
      </c>
      <c r="U3" s="73">
        <v>2.4655076807844829E-4</v>
      </c>
      <c r="V3" s="73">
        <v>8.6812889813380487E-4</v>
      </c>
      <c r="W3" s="73">
        <v>4.8962366961611116E-4</v>
      </c>
      <c r="X3" s="73">
        <v>2.1278401578029675E-3</v>
      </c>
      <c r="Y3" s="73">
        <v>3.1527410043494106E-4</v>
      </c>
      <c r="Z3" s="73">
        <v>9.7690527381058805E-4</v>
      </c>
      <c r="AA3" s="74">
        <v>4.3833923738954804E-3</v>
      </c>
    </row>
    <row r="4" spans="1:27">
      <c r="A4" s="43" t="str">
        <f>Prices!Z$3</f>
        <v>VGK</v>
      </c>
      <c r="B4" s="44">
        <f>Prices!Z4</f>
        <v>8.4964114811374586E-3</v>
      </c>
      <c r="C4" s="44">
        <f>Prices!Z6</f>
        <v>5.2220982812732616E-2</v>
      </c>
      <c r="E4" s="10" t="str">
        <v>VGK</v>
      </c>
      <c r="F4" s="16">
        <v>0</v>
      </c>
      <c r="G4" s="17">
        <v>1</v>
      </c>
      <c r="H4" s="17">
        <v>0.7719153526680379</v>
      </c>
      <c r="I4" s="17">
        <v>0.29140302467724011</v>
      </c>
      <c r="J4" s="17">
        <v>0.68294569776688485</v>
      </c>
      <c r="K4" s="17">
        <v>0.56960723740571095</v>
      </c>
      <c r="L4" s="17">
        <v>0.78772612337167713</v>
      </c>
      <c r="M4" s="17">
        <v>0.28156056236336541</v>
      </c>
      <c r="N4" s="17">
        <v>0.48797064277427105</v>
      </c>
      <c r="O4" s="18">
        <v>0.33456398734785325</v>
      </c>
      <c r="Q4" s="10" t="str">
        <v>VGK</v>
      </c>
      <c r="R4" s="75">
        <v>2.0767105354332401E-3</v>
      </c>
      <c r="S4" s="76">
        <v>2.7270310459277147E-3</v>
      </c>
      <c r="T4" s="25">
        <v>1.8617816853557869E-3</v>
      </c>
      <c r="U4" s="25">
        <v>3.2035323918017897E-4</v>
      </c>
      <c r="V4" s="25">
        <v>9.8015514569673584E-4</v>
      </c>
      <c r="W4" s="25">
        <v>5.2070188471977405E-4</v>
      </c>
      <c r="X4" s="25">
        <v>2.2509923860204025E-3</v>
      </c>
      <c r="Y4" s="25">
        <v>6.1674780427122889E-4</v>
      </c>
      <c r="Z4" s="25">
        <v>1.2565361846237073E-3</v>
      </c>
      <c r="AA4" s="77">
        <v>3.4866625773129151E-3</v>
      </c>
    </row>
    <row r="5" spans="1:27">
      <c r="A5" s="43" t="str">
        <f>Prices!AA$3</f>
        <v>VWO</v>
      </c>
      <c r="B5" s="44">
        <f>Prices!AA4</f>
        <v>5.4307927354481028E-3</v>
      </c>
      <c r="C5" s="44">
        <f>Prices!AA6</f>
        <v>4.6186391648232912E-2</v>
      </c>
      <c r="E5" s="10" t="str">
        <v>VWO</v>
      </c>
      <c r="F5" s="16">
        <v>0</v>
      </c>
      <c r="G5" s="19">
        <v>0</v>
      </c>
      <c r="H5" s="17">
        <v>1</v>
      </c>
      <c r="I5" s="17">
        <v>0.21723645818688539</v>
      </c>
      <c r="J5" s="17">
        <v>0.64189322701151308</v>
      </c>
      <c r="K5" s="17">
        <v>0.4493184633957199</v>
      </c>
      <c r="L5" s="17">
        <v>0.61941506443092476</v>
      </c>
      <c r="M5" s="17">
        <v>0.34539842831733919</v>
      </c>
      <c r="N5" s="17">
        <v>0.4946949517646817</v>
      </c>
      <c r="O5" s="18">
        <v>0.25634913951749611</v>
      </c>
      <c r="Q5" s="10" t="str">
        <v>VWO</v>
      </c>
      <c r="R5" s="75">
        <v>1.5167281467042557E-3</v>
      </c>
      <c r="S5" s="25">
        <v>1.8617816853557869E-3</v>
      </c>
      <c r="T5" s="76">
        <v>2.1331827734839587E-3</v>
      </c>
      <c r="U5" s="25">
        <v>2.11220842524017E-4</v>
      </c>
      <c r="V5" s="25">
        <v>8.1478014395880275E-4</v>
      </c>
      <c r="W5" s="25">
        <v>3.6327616874761429E-4</v>
      </c>
      <c r="X5" s="25">
        <v>1.5654872467697931E-3</v>
      </c>
      <c r="Y5" s="25">
        <v>6.6915255096715439E-4</v>
      </c>
      <c r="Z5" s="25">
        <v>1.126646770330555E-3</v>
      </c>
      <c r="AA5" s="77">
        <v>2.3628251553027722E-3</v>
      </c>
    </row>
    <row r="6" spans="1:27">
      <c r="A6" s="43" t="str">
        <f>Prices!AB$3</f>
        <v>IEF</v>
      </c>
      <c r="B6" s="44">
        <f>Prices!AB4</f>
        <v>-3.3629337690558328E-4</v>
      </c>
      <c r="C6" s="44">
        <f>Prices!AB6</f>
        <v>2.1051838188021685E-2</v>
      </c>
      <c r="E6" s="10" t="str">
        <v>IEF</v>
      </c>
      <c r="F6" s="16">
        <v>0</v>
      </c>
      <c r="G6" s="19">
        <v>0</v>
      </c>
      <c r="H6" s="19">
        <v>0</v>
      </c>
      <c r="I6" s="17">
        <v>0.99999999999999989</v>
      </c>
      <c r="J6" s="17">
        <v>0.78331896244455235</v>
      </c>
      <c r="K6" s="17">
        <v>0.77027045141303074</v>
      </c>
      <c r="L6" s="17">
        <v>0.39468054118563239</v>
      </c>
      <c r="M6" s="17">
        <v>0.36757219930603363</v>
      </c>
      <c r="N6" s="17">
        <v>-0.28839159901766059</v>
      </c>
      <c r="O6" s="18">
        <v>0.11841452314453722</v>
      </c>
      <c r="Q6" s="10" t="str">
        <v>IEF</v>
      </c>
      <c r="R6" s="75">
        <v>2.4655076807844829E-4</v>
      </c>
      <c r="S6" s="25">
        <v>3.2035323918017897E-4</v>
      </c>
      <c r="T6" s="25">
        <v>2.11220842524017E-4</v>
      </c>
      <c r="U6" s="76">
        <v>4.4317989109464814E-4</v>
      </c>
      <c r="V6" s="25">
        <v>4.5320247489009821E-4</v>
      </c>
      <c r="W6" s="25">
        <v>2.8385847879062374E-4</v>
      </c>
      <c r="X6" s="25">
        <v>4.5466285523215955E-4</v>
      </c>
      <c r="Y6" s="25">
        <v>3.2458124892382752E-4</v>
      </c>
      <c r="Z6" s="25">
        <v>-2.9937042360176058E-4</v>
      </c>
      <c r="AA6" s="77">
        <v>4.9748579149017579E-4</v>
      </c>
    </row>
    <row r="7" spans="1:27">
      <c r="A7" s="43" t="str">
        <f>Prices!AC$3</f>
        <v>LQD</v>
      </c>
      <c r="B7" s="44">
        <f>Prices!AC4</f>
        <v>5.1088611779445811E-4</v>
      </c>
      <c r="C7" s="44">
        <f>Prices!AC6</f>
        <v>2.7482966572273355E-2</v>
      </c>
      <c r="E7" s="10" t="str">
        <v>LQD</v>
      </c>
      <c r="F7" s="16">
        <v>0</v>
      </c>
      <c r="G7" s="19">
        <v>0</v>
      </c>
      <c r="H7" s="19">
        <v>0</v>
      </c>
      <c r="I7" s="19">
        <v>0</v>
      </c>
      <c r="J7" s="17">
        <v>1</v>
      </c>
      <c r="K7" s="17">
        <v>0.82397669317346456</v>
      </c>
      <c r="L7" s="17">
        <v>0.73173725049692595</v>
      </c>
      <c r="M7" s="17">
        <v>0.38027928262801997</v>
      </c>
      <c r="N7" s="17">
        <v>8.3179824718509918E-2</v>
      </c>
      <c r="O7" s="18">
        <v>0.31226977241909792</v>
      </c>
      <c r="Q7" s="10" t="str">
        <v>LQD</v>
      </c>
      <c r="R7" s="75">
        <v>8.6812889813380487E-4</v>
      </c>
      <c r="S7" s="25">
        <v>9.8015514569673584E-4</v>
      </c>
      <c r="T7" s="25">
        <v>8.1478014395880275E-4</v>
      </c>
      <c r="U7" s="25">
        <v>4.5320247489009821E-4</v>
      </c>
      <c r="V7" s="76">
        <v>7.5531345161269448E-4</v>
      </c>
      <c r="W7" s="25">
        <v>3.964123232234388E-4</v>
      </c>
      <c r="X7" s="25">
        <v>1.1004555637770645E-3</v>
      </c>
      <c r="Y7" s="25">
        <v>4.3838634944414048E-4</v>
      </c>
      <c r="Z7" s="25">
        <v>1.1272438487899193E-4</v>
      </c>
      <c r="AA7" s="77">
        <v>1.7126919019364571E-3</v>
      </c>
    </row>
    <row r="8" spans="1:27">
      <c r="A8" s="43" t="str">
        <f>Prices!AD$3</f>
        <v>TIP</v>
      </c>
      <c r="B8" s="44">
        <f>Prices!AD4</f>
        <v>7.9045932563296274E-4</v>
      </c>
      <c r="C8" s="44">
        <f>Prices!AD6</f>
        <v>1.7505261780072584E-2</v>
      </c>
      <c r="E8" s="10" t="str">
        <v>TIP</v>
      </c>
      <c r="F8" s="16">
        <v>0</v>
      </c>
      <c r="G8" s="19">
        <v>0</v>
      </c>
      <c r="H8" s="19">
        <v>0</v>
      </c>
      <c r="I8" s="19">
        <v>0</v>
      </c>
      <c r="J8" s="19">
        <v>0</v>
      </c>
      <c r="K8" s="17">
        <v>1.0000000000000002</v>
      </c>
      <c r="L8" s="17">
        <v>0.66911402801895736</v>
      </c>
      <c r="M8" s="17">
        <v>0.41945981181900932</v>
      </c>
      <c r="N8" s="17">
        <v>8.4887186981553259E-2</v>
      </c>
      <c r="O8" s="18">
        <v>0.3461330427145855</v>
      </c>
      <c r="Q8" s="10" t="str">
        <v>TIP</v>
      </c>
      <c r="R8" s="75">
        <v>4.8962366961611116E-4</v>
      </c>
      <c r="S8" s="25">
        <v>5.2070188471977405E-4</v>
      </c>
      <c r="T8" s="25">
        <v>3.6327616874761429E-4</v>
      </c>
      <c r="U8" s="25">
        <v>2.8385847879062374E-4</v>
      </c>
      <c r="V8" s="25">
        <v>3.964123232234388E-4</v>
      </c>
      <c r="W8" s="76">
        <v>3.0643418998887008E-4</v>
      </c>
      <c r="X8" s="25">
        <v>6.4094753467179837E-4</v>
      </c>
      <c r="Y8" s="25">
        <v>3.0799928929517873E-4</v>
      </c>
      <c r="Z8" s="25">
        <v>7.3273513285891046E-5</v>
      </c>
      <c r="AA8" s="77">
        <v>1.2091978261417663E-3</v>
      </c>
    </row>
    <row r="9" spans="1:27">
      <c r="A9" s="43" t="str">
        <f>Prices!AE$3</f>
        <v>VNQ</v>
      </c>
      <c r="B9" s="44">
        <f>Prices!AE4</f>
        <v>3.891999054814182E-3</v>
      </c>
      <c r="C9" s="44">
        <f>Prices!AE6</f>
        <v>5.4720963632938928E-2</v>
      </c>
      <c r="E9" s="10" t="str">
        <v>VNQ</v>
      </c>
      <c r="F9" s="16">
        <v>0</v>
      </c>
      <c r="G9" s="19">
        <v>0</v>
      </c>
      <c r="H9" s="19">
        <v>0</v>
      </c>
      <c r="I9" s="19">
        <v>0</v>
      </c>
      <c r="J9" s="19">
        <v>0</v>
      </c>
      <c r="K9" s="19">
        <v>0</v>
      </c>
      <c r="L9" s="17">
        <v>1.0000000000000002</v>
      </c>
      <c r="M9" s="17">
        <v>0.21561572987866676</v>
      </c>
      <c r="N9" s="17">
        <v>0.35588308562164217</v>
      </c>
      <c r="O9" s="18">
        <v>0.39827181769343001</v>
      </c>
      <c r="Q9" s="10" t="str">
        <v>VNQ</v>
      </c>
      <c r="R9" s="75">
        <v>2.1278401578029675E-3</v>
      </c>
      <c r="S9" s="25">
        <v>2.2509923860204025E-3</v>
      </c>
      <c r="T9" s="25">
        <v>1.5654872467697931E-3</v>
      </c>
      <c r="U9" s="25">
        <v>4.5466285523215955E-4</v>
      </c>
      <c r="V9" s="25">
        <v>1.1004555637770645E-3</v>
      </c>
      <c r="W9" s="25">
        <v>6.4094753467179837E-4</v>
      </c>
      <c r="X9" s="76">
        <v>2.9943838609174235E-3</v>
      </c>
      <c r="Y9" s="25">
        <v>4.9490851330648289E-4</v>
      </c>
      <c r="Z9" s="25">
        <v>9.6027881459056325E-4</v>
      </c>
      <c r="AA9" s="77">
        <v>4.3492963535825581E-3</v>
      </c>
    </row>
    <row r="10" spans="1:27">
      <c r="A10" s="43" t="str">
        <f>Prices!AF$3</f>
        <v>GLD</v>
      </c>
      <c r="B10" s="44">
        <f>Prices!AF4</f>
        <v>1.4965569872160762E-2</v>
      </c>
      <c r="C10" s="44">
        <f>Prices!AF6</f>
        <v>4.1946018779376655E-2</v>
      </c>
      <c r="E10" s="10" t="str">
        <v>GLD</v>
      </c>
      <c r="F10" s="16">
        <v>0</v>
      </c>
      <c r="G10" s="19">
        <v>0</v>
      </c>
      <c r="H10" s="19">
        <v>0</v>
      </c>
      <c r="I10" s="19">
        <v>0</v>
      </c>
      <c r="J10" s="19">
        <v>0</v>
      </c>
      <c r="K10" s="19">
        <v>0</v>
      </c>
      <c r="L10" s="19">
        <v>0</v>
      </c>
      <c r="M10" s="17">
        <v>0.99999999999999989</v>
      </c>
      <c r="N10" s="17">
        <v>3.5311691891397136E-2</v>
      </c>
      <c r="O10" s="18">
        <v>0.13211005837815495</v>
      </c>
      <c r="Q10" s="10" t="str">
        <v>GLD</v>
      </c>
      <c r="R10" s="75">
        <v>3.1527410043494106E-4</v>
      </c>
      <c r="S10" s="25">
        <v>6.1674780427122889E-4</v>
      </c>
      <c r="T10" s="25">
        <v>6.6915255096715439E-4</v>
      </c>
      <c r="U10" s="25">
        <v>3.2458124892382752E-4</v>
      </c>
      <c r="V10" s="25">
        <v>4.3838634944414048E-4</v>
      </c>
      <c r="W10" s="25">
        <v>3.0799928929517873E-4</v>
      </c>
      <c r="X10" s="25">
        <v>4.9490851330648289E-4</v>
      </c>
      <c r="Y10" s="76">
        <v>1.7594684914398191E-3</v>
      </c>
      <c r="Z10" s="25">
        <v>7.3037439068179897E-5</v>
      </c>
      <c r="AA10" s="77">
        <v>1.1058909888860716E-3</v>
      </c>
    </row>
    <row r="11" spans="1:27">
      <c r="A11" s="43" t="str">
        <f>Prices!AG$3</f>
        <v>DBC</v>
      </c>
      <c r="B11" s="44">
        <f>Prices!AG4</f>
        <v>6.0828470658512877E-3</v>
      </c>
      <c r="C11" s="44">
        <f>Prices!AG6</f>
        <v>4.9310143184493317E-2</v>
      </c>
      <c r="E11" s="10" t="str">
        <v>DBC</v>
      </c>
      <c r="F11" s="20">
        <v>0</v>
      </c>
      <c r="G11" s="21">
        <v>0</v>
      </c>
      <c r="H11" s="21">
        <v>0</v>
      </c>
      <c r="I11" s="21">
        <v>0</v>
      </c>
      <c r="J11" s="21">
        <v>0</v>
      </c>
      <c r="K11" s="21">
        <v>0</v>
      </c>
      <c r="L11" s="21">
        <v>0</v>
      </c>
      <c r="M11" s="21">
        <v>0</v>
      </c>
      <c r="N11" s="17">
        <v>1.0000000000000002</v>
      </c>
      <c r="O11" s="18">
        <v>0.10625790863747228</v>
      </c>
      <c r="Q11" s="10" t="str">
        <v>DBC</v>
      </c>
      <c r="R11" s="75">
        <v>9.7690527381058805E-4</v>
      </c>
      <c r="S11" s="25">
        <v>1.2565361846237073E-3</v>
      </c>
      <c r="T11" s="25">
        <v>1.126646770330555E-3</v>
      </c>
      <c r="U11" s="25">
        <v>-2.9937042360176058E-4</v>
      </c>
      <c r="V11" s="25">
        <v>1.1272438487899193E-4</v>
      </c>
      <c r="W11" s="25">
        <v>7.3273513285891046E-5</v>
      </c>
      <c r="X11" s="25">
        <v>9.6027881459056325E-4</v>
      </c>
      <c r="Y11" s="25">
        <v>7.3037439068179897E-5</v>
      </c>
      <c r="Z11" s="76">
        <v>2.4314902208752327E-3</v>
      </c>
      <c r="AA11" s="77">
        <v>1.0456424726550766E-3</v>
      </c>
    </row>
    <row r="12" spans="1:27">
      <c r="A12" s="46" t="str">
        <f>Prices!AH$3</f>
        <v>BTC</v>
      </c>
      <c r="B12" s="47">
        <f>Prices!AH4</f>
        <v>5.7898273179662139E-2</v>
      </c>
      <c r="C12" s="47">
        <f>Prices!AG6</f>
        <v>4.9310143184493317E-2</v>
      </c>
      <c r="E12" s="10" t="str">
        <v>BTC</v>
      </c>
      <c r="F12" s="22">
        <v>0</v>
      </c>
      <c r="G12" s="23">
        <v>0</v>
      </c>
      <c r="H12" s="23">
        <v>0</v>
      </c>
      <c r="I12" s="23">
        <v>0</v>
      </c>
      <c r="J12" s="23">
        <v>0</v>
      </c>
      <c r="K12" s="23">
        <v>0</v>
      </c>
      <c r="L12" s="23">
        <v>0</v>
      </c>
      <c r="M12" s="23">
        <v>0</v>
      </c>
      <c r="N12" s="23">
        <v>0</v>
      </c>
      <c r="O12" s="24">
        <v>1.0000000000000002</v>
      </c>
      <c r="Q12" s="10" t="str">
        <v>BTC</v>
      </c>
      <c r="R12" s="78">
        <v>4.3833923738954804E-3</v>
      </c>
      <c r="S12" s="79">
        <v>3.4866625773129151E-3</v>
      </c>
      <c r="T12" s="79">
        <v>2.3628251553027722E-3</v>
      </c>
      <c r="U12" s="79">
        <v>4.9748579149017579E-4</v>
      </c>
      <c r="V12" s="79">
        <v>1.7126919019364571E-3</v>
      </c>
      <c r="W12" s="79">
        <v>1.2091978261417663E-3</v>
      </c>
      <c r="X12" s="79">
        <v>4.3492963535825581E-3</v>
      </c>
      <c r="Y12" s="79">
        <v>1.1058909888860716E-3</v>
      </c>
      <c r="Z12" s="79">
        <v>1.0456424726550766E-3</v>
      </c>
      <c r="AA12" s="80">
        <v>3.9826429757608237E-2</v>
      </c>
    </row>
    <row r="13" spans="1:27" ht="34">
      <c r="A13" s="53" t="str">
        <f>'Efficient Frontier &amp; Specific '!$A$14</f>
        <v>Fama/French 3 Factors (Monthly)</v>
      </c>
      <c r="B13" s="88">
        <f>'Efficient Frontier &amp; Specific '!$B$14</f>
        <v>2.1049382716049381E-5</v>
      </c>
      <c r="C13" s="48"/>
    </row>
    <row r="14" spans="1:27">
      <c r="U14" t="s">
        <v>43</v>
      </c>
    </row>
    <row r="20" spans="1:21" ht="19">
      <c r="A20" s="87" t="s">
        <v>32</v>
      </c>
      <c r="B20" s="86"/>
      <c r="C20" s="86"/>
      <c r="D20" s="86"/>
      <c r="E20" s="86"/>
      <c r="F20" s="86"/>
      <c r="G20" s="86"/>
      <c r="H20" s="86"/>
      <c r="I20" s="86"/>
      <c r="J20" s="86"/>
      <c r="K20" s="86"/>
      <c r="L20" s="86"/>
      <c r="M20" s="86"/>
      <c r="N20" s="86"/>
      <c r="O20" s="86"/>
      <c r="P20" s="86"/>
      <c r="Q20" s="86"/>
      <c r="R20" s="84"/>
    </row>
    <row r="21" spans="1:21" ht="51">
      <c r="A21" s="61" t="s">
        <v>14</v>
      </c>
      <c r="B21" s="61" t="s">
        <v>15</v>
      </c>
      <c r="C21" s="61" t="s">
        <v>16</v>
      </c>
      <c r="D21" s="61" t="s">
        <v>17</v>
      </c>
      <c r="E21" s="61" t="s">
        <v>18</v>
      </c>
      <c r="F21" s="61" t="s">
        <v>19</v>
      </c>
      <c r="G21" s="61" t="s">
        <v>20</v>
      </c>
      <c r="H21" s="61" t="s">
        <v>21</v>
      </c>
      <c r="I21" s="61" t="s">
        <v>22</v>
      </c>
      <c r="J21" s="61" t="s">
        <v>23</v>
      </c>
      <c r="K21" s="61" t="s">
        <v>24</v>
      </c>
      <c r="L21" s="61" t="s">
        <v>25</v>
      </c>
      <c r="M21" s="61" t="s">
        <v>26</v>
      </c>
      <c r="N21" s="62" t="s">
        <v>12</v>
      </c>
      <c r="O21" s="62" t="s">
        <v>30</v>
      </c>
      <c r="P21" s="61" t="s">
        <v>13</v>
      </c>
    </row>
    <row r="22" spans="1:21">
      <c r="A22" s="68">
        <f>SUM(B22:K22)</f>
        <v>1.0000000072869539</v>
      </c>
      <c r="B22" s="65">
        <v>0</v>
      </c>
      <c r="C22" s="65">
        <v>0</v>
      </c>
      <c r="D22" s="66">
        <v>0</v>
      </c>
      <c r="E22" s="65">
        <v>0.96778912653106652</v>
      </c>
      <c r="F22" s="65">
        <v>0</v>
      </c>
      <c r="G22" s="65">
        <v>3.2210880755887468E-2</v>
      </c>
      <c r="H22" s="65">
        <v>0</v>
      </c>
      <c r="I22" s="65">
        <v>0</v>
      </c>
      <c r="J22" s="65">
        <v>0</v>
      </c>
      <c r="K22" s="65">
        <v>0</v>
      </c>
      <c r="L22" s="81" cm="1">
        <f t="array" ref="L22">MMULT(MMULT(B22:K22,R3:AA12),TRANSPOSE(B22:K22))</f>
        <v>4.3310485714569347E-4</v>
      </c>
      <c r="M22" s="65">
        <f>SQRT(L22)</f>
        <v>2.0811171450586183E-2</v>
      </c>
      <c r="N22" s="82" cm="1">
        <f t="array" ref="N22">MMULT(B22:K22,B3:B12)</f>
        <v>-2.9999968241329461E-4</v>
      </c>
      <c r="O22" s="67">
        <v>-2.9999999999999997E-4</v>
      </c>
      <c r="P22" s="104">
        <f>(N22-B13)/M22</f>
        <v>-1.5426765662453906E-2</v>
      </c>
    </row>
    <row r="23" spans="1:21">
      <c r="A23" s="39"/>
      <c r="D23" s="38"/>
    </row>
    <row r="24" spans="1:21">
      <c r="A24" s="39"/>
      <c r="D24" s="38"/>
    </row>
    <row r="25" spans="1:21" ht="19">
      <c r="A25" s="87" t="s">
        <v>42</v>
      </c>
      <c r="B25" s="84"/>
      <c r="C25" s="84"/>
      <c r="D25" s="85"/>
      <c r="E25" s="84"/>
      <c r="F25" s="84"/>
      <c r="G25" s="84"/>
      <c r="H25" s="84"/>
      <c r="I25" s="84"/>
      <c r="J25" s="84"/>
      <c r="K25" s="84"/>
      <c r="L25" s="84"/>
      <c r="M25" s="84"/>
      <c r="N25" s="84"/>
      <c r="O25" s="84"/>
      <c r="P25" s="84"/>
      <c r="Q25" s="84"/>
      <c r="R25" s="84"/>
    </row>
    <row r="26" spans="1:21">
      <c r="A26" s="61" t="s">
        <v>14</v>
      </c>
    </row>
    <row r="27" spans="1:21">
      <c r="A27" s="91">
        <v>1.0000000072869539</v>
      </c>
      <c r="B27" s="89">
        <v>0</v>
      </c>
      <c r="C27" s="89">
        <v>0</v>
      </c>
      <c r="D27" s="92">
        <v>0</v>
      </c>
      <c r="E27" s="89">
        <v>0.96778912653106652</v>
      </c>
      <c r="F27" s="89">
        <v>0</v>
      </c>
      <c r="G27" s="89">
        <v>3.2210880755887468E-2</v>
      </c>
      <c r="H27" s="89">
        <v>0</v>
      </c>
      <c r="I27" s="89">
        <v>0</v>
      </c>
      <c r="J27" s="89">
        <v>0</v>
      </c>
      <c r="K27" s="89">
        <v>0</v>
      </c>
      <c r="L27" s="83">
        <v>4.3310485714569347E-4</v>
      </c>
      <c r="M27" s="89">
        <v>2.0811171450586183E-2</v>
      </c>
      <c r="N27" s="89">
        <v>-2.9999968241329461E-4</v>
      </c>
    </row>
    <row r="28" spans="1:21">
      <c r="A28" s="91">
        <v>1.0000000000000044</v>
      </c>
      <c r="B28" s="89">
        <v>0</v>
      </c>
      <c r="C28" s="89">
        <v>0</v>
      </c>
      <c r="D28" s="92">
        <v>0</v>
      </c>
      <c r="E28" s="89">
        <v>0.42737189549307752</v>
      </c>
      <c r="F28" s="89">
        <v>0</v>
      </c>
      <c r="G28" s="89">
        <v>0.44204750017983613</v>
      </c>
      <c r="H28" s="89">
        <v>0</v>
      </c>
      <c r="I28" s="89">
        <v>0</v>
      </c>
      <c r="J28" s="89">
        <v>0.13058060432709082</v>
      </c>
      <c r="K28" s="89">
        <v>0</v>
      </c>
      <c r="L28" s="83">
        <v>2.6458232005445963E-4</v>
      </c>
      <c r="M28" s="89">
        <v>1.6265986599479899E-2</v>
      </c>
      <c r="N28" s="89">
        <v>1.0000000768481156E-3</v>
      </c>
    </row>
    <row r="29" spans="1:21">
      <c r="A29" s="91">
        <v>1.0000000421324124</v>
      </c>
      <c r="B29" s="93">
        <v>0</v>
      </c>
      <c r="C29" s="93">
        <v>0</v>
      </c>
      <c r="D29" s="90">
        <v>0</v>
      </c>
      <c r="E29" s="93">
        <v>0.40171067075140693</v>
      </c>
      <c r="F29" s="93">
        <v>0</v>
      </c>
      <c r="G29" s="93">
        <v>0.45404701189813568</v>
      </c>
      <c r="H29" s="93">
        <v>0</v>
      </c>
      <c r="I29" s="93">
        <v>0</v>
      </c>
      <c r="J29" s="93">
        <v>0.14424235948286984</v>
      </c>
      <c r="K29" s="93">
        <v>0</v>
      </c>
      <c r="L29" s="94">
        <v>2.6373345427523152E-4</v>
      </c>
      <c r="M29" s="93">
        <v>1.6239872360189027E-2</v>
      </c>
      <c r="N29" s="93">
        <v>1.101217269976506E-3</v>
      </c>
      <c r="O29" s="54" t="s">
        <v>34</v>
      </c>
    </row>
    <row r="30" spans="1:21">
      <c r="A30" s="91">
        <v>1.0000000034659717</v>
      </c>
      <c r="B30" s="105">
        <v>8.9169407249947791E-2</v>
      </c>
      <c r="C30" s="105">
        <v>0</v>
      </c>
      <c r="D30" s="105">
        <v>0</v>
      </c>
      <c r="E30" s="105">
        <v>0.40595257340420837</v>
      </c>
      <c r="F30" s="105">
        <v>0</v>
      </c>
      <c r="G30" s="105">
        <v>0</v>
      </c>
      <c r="H30" s="105">
        <v>0</v>
      </c>
      <c r="I30" s="105">
        <v>0.29982820951030609</v>
      </c>
      <c r="J30" s="105">
        <v>0.18167106986432965</v>
      </c>
      <c r="K30" s="105">
        <v>2.3378743437179914E-2</v>
      </c>
      <c r="L30" s="106">
        <v>5.1255232685200466E-4</v>
      </c>
      <c r="M30" s="105">
        <v>2.2639618522669606E-2</v>
      </c>
      <c r="N30" s="105">
        <v>8.0000000750165348E-3</v>
      </c>
      <c r="U30" t="s">
        <v>44</v>
      </c>
    </row>
    <row r="31" spans="1:21">
      <c r="A31" s="121">
        <v>0.99999999158883446</v>
      </c>
      <c r="B31" s="93">
        <v>0.23002045993903256</v>
      </c>
      <c r="C31" s="93">
        <v>0</v>
      </c>
      <c r="D31" s="93">
        <v>0</v>
      </c>
      <c r="E31" s="93">
        <v>0</v>
      </c>
      <c r="F31" s="93">
        <v>0</v>
      </c>
      <c r="G31" s="93">
        <v>0</v>
      </c>
      <c r="H31" s="93">
        <v>0</v>
      </c>
      <c r="I31" s="93">
        <v>0.62542734402180689</v>
      </c>
      <c r="J31" s="93">
        <v>6.5990320611279296E-2</v>
      </c>
      <c r="K31" s="93">
        <v>7.8561867016715775E-2</v>
      </c>
      <c r="L31" s="94">
        <v>1.4690942575751795E-3</v>
      </c>
      <c r="M31" s="93">
        <v>3.8328765406352182E-2</v>
      </c>
      <c r="N31" s="93">
        <v>1.7381535953207003E-2</v>
      </c>
      <c r="O31" s="54" t="s">
        <v>33</v>
      </c>
    </row>
    <row r="32" spans="1:21">
      <c r="A32" s="91">
        <v>0.99999999805709483</v>
      </c>
      <c r="B32" s="89">
        <v>0</v>
      </c>
      <c r="C32" s="89">
        <v>0</v>
      </c>
      <c r="D32" s="89">
        <v>0</v>
      </c>
      <c r="E32" s="89">
        <v>0</v>
      </c>
      <c r="F32" s="89">
        <v>0</v>
      </c>
      <c r="G32" s="89">
        <v>0</v>
      </c>
      <c r="H32" s="89">
        <v>0</v>
      </c>
      <c r="I32" s="89">
        <v>0.69639815117979453</v>
      </c>
      <c r="J32" s="89">
        <v>0</v>
      </c>
      <c r="K32" s="89">
        <v>0.30360184687730035</v>
      </c>
      <c r="L32" s="83">
        <v>4.9918868109852348E-3</v>
      </c>
      <c r="M32" s="89">
        <v>7.0653285917820094E-2</v>
      </c>
      <c r="N32" s="89">
        <v>2.800001785867668E-2</v>
      </c>
    </row>
    <row r="33" spans="1:14">
      <c r="A33" s="91">
        <v>0.99999998314836014</v>
      </c>
      <c r="B33" s="89">
        <v>0</v>
      </c>
      <c r="C33" s="89">
        <v>0</v>
      </c>
      <c r="D33" s="89">
        <v>0</v>
      </c>
      <c r="E33" s="89">
        <v>0</v>
      </c>
      <c r="F33" s="89">
        <v>0</v>
      </c>
      <c r="G33" s="89">
        <v>0</v>
      </c>
      <c r="H33" s="89">
        <v>0</v>
      </c>
      <c r="I33" s="89">
        <v>0.46347522217373932</v>
      </c>
      <c r="J33" s="89">
        <v>0</v>
      </c>
      <c r="K33" s="89">
        <v>0.53652476097462076</v>
      </c>
      <c r="L33" s="83">
        <v>1.2392334031772499E-2</v>
      </c>
      <c r="M33" s="89">
        <v>0.11132086072148606</v>
      </c>
      <c r="N33" s="89">
        <v>3.8000028000017852E-2</v>
      </c>
    </row>
    <row r="34" spans="1:14">
      <c r="A34" s="91">
        <v>0.99999998068664508</v>
      </c>
      <c r="B34" s="89">
        <v>0</v>
      </c>
      <c r="C34" s="89">
        <v>0</v>
      </c>
      <c r="D34" s="89">
        <v>0</v>
      </c>
      <c r="E34" s="89">
        <v>0</v>
      </c>
      <c r="F34" s="89">
        <v>0</v>
      </c>
      <c r="G34" s="89">
        <v>0</v>
      </c>
      <c r="H34" s="89">
        <v>0</v>
      </c>
      <c r="I34" s="89">
        <v>0.23055231324543185</v>
      </c>
      <c r="J34" s="89">
        <v>0</v>
      </c>
      <c r="K34" s="89">
        <v>0.76944766744121329</v>
      </c>
      <c r="L34" s="83">
        <v>2.4065115308548251E-2</v>
      </c>
      <c r="M34" s="89">
        <v>0.15512935024858529</v>
      </c>
      <c r="N34" s="89">
        <v>4.8000038000028E-2</v>
      </c>
    </row>
    <row r="35" spans="1:14">
      <c r="A35" s="122">
        <v>0.99999999901846248</v>
      </c>
      <c r="B35" s="89">
        <v>0</v>
      </c>
      <c r="C35" s="89">
        <v>0</v>
      </c>
      <c r="D35" s="89">
        <v>0</v>
      </c>
      <c r="E35" s="89">
        <v>0</v>
      </c>
      <c r="F35" s="89">
        <v>0</v>
      </c>
      <c r="G35" s="89">
        <v>0</v>
      </c>
      <c r="H35" s="89">
        <v>0</v>
      </c>
      <c r="I35" s="89">
        <v>0.18396868624258556</v>
      </c>
      <c r="J35" s="89">
        <v>0</v>
      </c>
      <c r="K35" s="89">
        <v>0.81603131277587693</v>
      </c>
      <c r="L35" s="83">
        <v>2.6912292790563175E-2</v>
      </c>
      <c r="M35" s="89">
        <v>0.16404966562161344</v>
      </c>
      <c r="N35" s="89">
        <v>5.0000000098509079E-2</v>
      </c>
    </row>
    <row r="36" spans="1:14">
      <c r="A36" s="91"/>
    </row>
    <row r="37" spans="1:14">
      <c r="A37" s="91"/>
      <c r="B37" s="95"/>
      <c r="C37" s="95"/>
      <c r="D37" s="95"/>
      <c r="M37" s="165" t="s">
        <v>39</v>
      </c>
      <c r="N37" s="166"/>
    </row>
    <row r="38" spans="1:14">
      <c r="A38" s="91"/>
      <c r="B38" s="95"/>
      <c r="C38" s="95"/>
      <c r="D38" s="95"/>
      <c r="L38" s="136" t="s">
        <v>35</v>
      </c>
      <c r="M38" s="131">
        <v>0</v>
      </c>
      <c r="N38" s="132">
        <f>B13</f>
        <v>2.1049382716049381E-5</v>
      </c>
    </row>
    <row r="39" spans="1:14">
      <c r="K39" s="133"/>
      <c r="L39" s="134" t="s">
        <v>36</v>
      </c>
      <c r="M39" s="135">
        <f>M31</f>
        <v>3.8328765406352182E-2</v>
      </c>
      <c r="N39" s="135">
        <f>N31</f>
        <v>1.7381535953207003E-2</v>
      </c>
    </row>
    <row r="40" spans="1:14">
      <c r="B40" s="1"/>
      <c r="C40" s="1"/>
      <c r="D40" s="1"/>
      <c r="L40" s="38"/>
      <c r="M40" s="99"/>
      <c r="N40" s="99"/>
    </row>
    <row r="41" spans="1:14">
      <c r="L41" s="130" t="s">
        <v>65</v>
      </c>
      <c r="M41" s="103"/>
      <c r="N41" s="103"/>
    </row>
    <row r="42" spans="1:14">
      <c r="L42" s="117">
        <v>0</v>
      </c>
      <c r="M42" s="128">
        <f>$M$31*L42</f>
        <v>0</v>
      </c>
      <c r="N42" s="129">
        <f>$B$14+L42*($N$31-$B$14)</f>
        <v>0</v>
      </c>
    </row>
    <row r="43" spans="1:14" ht="16" customHeight="1">
      <c r="B43" s="95"/>
      <c r="C43" s="95"/>
      <c r="D43" s="95"/>
      <c r="L43" s="117">
        <v>0.25</v>
      </c>
      <c r="M43" s="128">
        <f>$M$31*L43</f>
        <v>9.5821913515880455E-3</v>
      </c>
      <c r="N43" s="129">
        <f t="shared" ref="N43:N49" si="0">$B$14+L43*($N$31-$B$14)</f>
        <v>4.3453839883017507E-3</v>
      </c>
    </row>
    <row r="44" spans="1:14" ht="16" customHeight="1">
      <c r="L44" s="117">
        <v>0.5</v>
      </c>
      <c r="M44" s="128">
        <f t="shared" ref="M44:M49" si="1">$M$31*L44</f>
        <v>1.9164382703176091E-2</v>
      </c>
      <c r="N44" s="129">
        <f t="shared" si="0"/>
        <v>8.6907679766035015E-3</v>
      </c>
    </row>
    <row r="45" spans="1:14">
      <c r="L45" s="117">
        <v>0.75</v>
      </c>
      <c r="M45" s="128">
        <f t="shared" si="1"/>
        <v>2.8746574054764135E-2</v>
      </c>
      <c r="N45" s="129">
        <f t="shared" si="0"/>
        <v>1.3036151964905252E-2</v>
      </c>
    </row>
    <row r="46" spans="1:14">
      <c r="L46" s="117">
        <v>1</v>
      </c>
      <c r="M46" s="128">
        <f t="shared" si="1"/>
        <v>3.8328765406352182E-2</v>
      </c>
      <c r="N46" s="129">
        <f t="shared" si="0"/>
        <v>1.7381535953207003E-2</v>
      </c>
    </row>
    <row r="47" spans="1:14">
      <c r="L47" s="117">
        <v>1.25</v>
      </c>
      <c r="M47" s="128">
        <f t="shared" si="1"/>
        <v>4.7910956757940229E-2</v>
      </c>
      <c r="N47" s="129">
        <f t="shared" si="0"/>
        <v>2.1726919941508754E-2</v>
      </c>
    </row>
    <row r="48" spans="1:14">
      <c r="L48" s="117">
        <v>1.5</v>
      </c>
      <c r="M48" s="128">
        <f t="shared" si="1"/>
        <v>5.7493148109528269E-2</v>
      </c>
      <c r="N48" s="129">
        <f t="shared" si="0"/>
        <v>2.6072303929810504E-2</v>
      </c>
    </row>
    <row r="49" spans="1:18" ht="19">
      <c r="A49" s="87" t="s">
        <v>45</v>
      </c>
      <c r="B49" s="84"/>
      <c r="C49" s="84"/>
      <c r="D49" s="85"/>
      <c r="E49" s="84"/>
      <c r="F49" s="84"/>
      <c r="G49" s="84"/>
      <c r="H49" s="84"/>
      <c r="I49" s="84"/>
      <c r="J49" s="84"/>
      <c r="K49" s="84"/>
      <c r="L49" s="117">
        <v>5.22</v>
      </c>
      <c r="M49" s="137">
        <f t="shared" si="1"/>
        <v>0.20007615542115839</v>
      </c>
      <c r="N49" s="137">
        <f t="shared" si="0"/>
        <v>9.0731617675740547E-2</v>
      </c>
      <c r="P49" s="84"/>
      <c r="Q49" s="84"/>
      <c r="R49" s="84"/>
    </row>
    <row r="50" spans="1:18">
      <c r="A50" s="102" t="s">
        <v>79</v>
      </c>
    </row>
    <row r="51" spans="1:18">
      <c r="A51" s="102" t="s">
        <v>80</v>
      </c>
    </row>
    <row r="52" spans="1:18">
      <c r="A52" s="102" t="s">
        <v>160</v>
      </c>
    </row>
    <row r="53" spans="1:18">
      <c r="A53" s="181" t="s">
        <v>81</v>
      </c>
      <c r="B53" s="178"/>
      <c r="C53" s="178"/>
      <c r="D53" s="178"/>
      <c r="E53" s="178"/>
      <c r="F53" s="178"/>
      <c r="G53" s="178"/>
      <c r="H53" s="178"/>
      <c r="I53" s="178"/>
      <c r="J53" s="178"/>
      <c r="K53" s="178"/>
      <c r="L53" s="178"/>
      <c r="M53" s="178"/>
      <c r="N53" s="178"/>
      <c r="O53" s="178"/>
      <c r="P53" s="178"/>
      <c r="Q53" s="178"/>
      <c r="R53" s="178"/>
    </row>
    <row r="54" spans="1:18">
      <c r="A54" s="102" t="s">
        <v>82</v>
      </c>
    </row>
    <row r="57" spans="1:18">
      <c r="A57" s="102"/>
    </row>
  </sheetData>
  <mergeCells count="1">
    <mergeCell ref="M37:N37"/>
  </mergeCells>
  <conditionalFormatting sqref="F3:O12">
    <cfRule type="colorScale" priority="1">
      <colorScale>
        <cfvo type="num" val="-1"/>
        <cfvo type="num" val="0"/>
        <cfvo type="num" val="1"/>
        <color theme="5"/>
        <color theme="0"/>
        <color theme="4"/>
      </colorScale>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CEDEF-09A0-C44E-81B7-4AC130D4C902}">
  <dimension ref="A2:AN58"/>
  <sheetViews>
    <sheetView showGridLines="0" topLeftCell="A21" zoomScale="75" zoomScaleNormal="50" workbookViewId="0">
      <selection activeCell="G67" sqref="G67"/>
    </sheetView>
  </sheetViews>
  <sheetFormatPr baseColWidth="10" defaultColWidth="10.6640625" defaultRowHeight="16"/>
  <cols>
    <col min="2" max="2" width="20.1640625" customWidth="1"/>
    <col min="3" max="3" width="16.83203125" bestFit="1" customWidth="1"/>
    <col min="4" max="7" width="16.1640625" bestFit="1" customWidth="1"/>
    <col min="8" max="8" width="12.1640625" bestFit="1" customWidth="1"/>
    <col min="9" max="9" width="14.1640625" bestFit="1" customWidth="1"/>
    <col min="10" max="10" width="16.1640625" bestFit="1" customWidth="1"/>
    <col min="11" max="11" width="13.1640625" bestFit="1" customWidth="1"/>
    <col min="12" max="12" width="12.6640625" bestFit="1" customWidth="1"/>
    <col min="13" max="13" width="16.83203125" customWidth="1"/>
    <col min="14" max="14" width="15" bestFit="1" customWidth="1"/>
    <col min="15" max="15" width="16.83203125" customWidth="1"/>
    <col min="16" max="17" width="11.1640625" bestFit="1" customWidth="1"/>
    <col min="18" max="18" width="34.33203125" bestFit="1" customWidth="1"/>
    <col min="19" max="19" width="15" bestFit="1" customWidth="1"/>
    <col min="20" max="20" width="11.33203125" bestFit="1" customWidth="1"/>
    <col min="21" max="21" width="11.1640625" bestFit="1" customWidth="1"/>
    <col min="22" max="22" width="12.33203125" bestFit="1" customWidth="1"/>
    <col min="23" max="24" width="11.33203125" bestFit="1" customWidth="1"/>
    <col min="25" max="28" width="11.1640625" bestFit="1" customWidth="1"/>
    <col min="30" max="30" width="26.6640625" bestFit="1" customWidth="1"/>
    <col min="31" max="31" width="12" bestFit="1" customWidth="1"/>
    <col min="36" max="36" width="12.83203125" bestFit="1" customWidth="1"/>
    <col min="38" max="38" width="12.83203125" bestFit="1" customWidth="1"/>
  </cols>
  <sheetData>
    <row r="2" spans="1:40" ht="17">
      <c r="A2" s="45" t="s">
        <v>27</v>
      </c>
      <c r="B2" s="107" t="s">
        <v>12</v>
      </c>
      <c r="C2" s="42" t="s">
        <v>28</v>
      </c>
      <c r="D2" s="107" t="s">
        <v>46</v>
      </c>
      <c r="E2" s="40"/>
      <c r="F2" s="50" t="str" cm="1">
        <f t="array" ref="F2:P12">'Efficient Frontier &amp; Specific '!E3:O13</f>
        <v>Correlations</v>
      </c>
      <c r="G2" s="41" t="str">
        <v>SPY</v>
      </c>
      <c r="H2" s="41" t="str">
        <v>VGK</v>
      </c>
      <c r="I2" s="41" t="str">
        <v>VWO</v>
      </c>
      <c r="J2" s="41" t="str">
        <v>IEF</v>
      </c>
      <c r="K2" s="41" t="str">
        <v>LQD</v>
      </c>
      <c r="L2" s="41" t="str">
        <v>TIP</v>
      </c>
      <c r="M2" s="41" t="str">
        <v>VNQ</v>
      </c>
      <c r="N2" s="41" t="str">
        <v>GLD</v>
      </c>
      <c r="O2" s="41" t="str">
        <v>DBC</v>
      </c>
      <c r="P2" s="41" t="str">
        <v>BTC</v>
      </c>
      <c r="Q2" s="40"/>
      <c r="R2" s="51" t="str" cm="1">
        <f t="array" ref="R2:AB12">'Efficient Frontier &amp; Specific '!Q3:AA13</f>
        <v>Covariances of monthly returns</v>
      </c>
      <c r="S2" s="41" t="str">
        <v>SPY</v>
      </c>
      <c r="T2" s="41" t="str">
        <v>VGK</v>
      </c>
      <c r="U2" s="41" t="str">
        <v>VWO</v>
      </c>
      <c r="V2" s="41" t="str">
        <v>IEF</v>
      </c>
      <c r="W2" s="41" t="str">
        <v>LQD</v>
      </c>
      <c r="X2" s="41" t="str">
        <v>TIP</v>
      </c>
      <c r="Y2" s="41" t="str">
        <v>VNQ</v>
      </c>
      <c r="Z2" s="41" t="str">
        <v>GLD</v>
      </c>
      <c r="AA2" s="41" t="str">
        <v>DBC</v>
      </c>
      <c r="AB2" s="41" t="str">
        <v>BTC</v>
      </c>
      <c r="AD2" s="139" t="s">
        <v>66</v>
      </c>
      <c r="AE2" s="140" t="s">
        <v>2</v>
      </c>
      <c r="AF2" s="140" t="s">
        <v>50</v>
      </c>
      <c r="AG2" s="140" t="s">
        <v>51</v>
      </c>
      <c r="AH2" s="140" t="s">
        <v>52</v>
      </c>
      <c r="AI2" s="140" t="s">
        <v>53</v>
      </c>
      <c r="AJ2" s="140" t="s">
        <v>54</v>
      </c>
      <c r="AK2" s="140" t="s">
        <v>3</v>
      </c>
      <c r="AL2" s="140" t="s">
        <v>55</v>
      </c>
      <c r="AM2" s="140" t="s">
        <v>4</v>
      </c>
      <c r="AN2" s="140" t="s">
        <v>56</v>
      </c>
    </row>
    <row r="3" spans="1:40">
      <c r="A3" s="43" t="str">
        <f>Prices!Y$3</f>
        <v>SPY</v>
      </c>
      <c r="B3" s="44">
        <f>Prices!Y4</f>
        <v>1.3353828920087674E-2</v>
      </c>
      <c r="C3" s="44">
        <f>Prices!Y6</f>
        <v>4.7649232574071006E-2</v>
      </c>
      <c r="D3" s="44">
        <f>C3*1.02</f>
        <v>4.8602217225552427E-2</v>
      </c>
      <c r="F3" s="10" t="str">
        <v>SPY</v>
      </c>
      <c r="G3" s="13">
        <v>1.0000000000000002</v>
      </c>
      <c r="H3" s="14">
        <v>0.83459353197024411</v>
      </c>
      <c r="I3" s="14">
        <v>0.68918815065026184</v>
      </c>
      <c r="J3" s="14">
        <v>0.24578785880324971</v>
      </c>
      <c r="K3" s="14">
        <v>0.66292545162911165</v>
      </c>
      <c r="L3" s="14">
        <v>0.5869997068580286</v>
      </c>
      <c r="M3" s="14">
        <v>0.81607364727359155</v>
      </c>
      <c r="N3" s="14">
        <v>0.15773992785337076</v>
      </c>
      <c r="O3" s="14">
        <v>0.41577682654450299</v>
      </c>
      <c r="P3" s="15">
        <v>0.46096584674204782</v>
      </c>
      <c r="R3" s="10" t="str">
        <v>SPY</v>
      </c>
      <c r="S3" s="72">
        <v>2.27044936489791E-3</v>
      </c>
      <c r="T3" s="73">
        <v>2.0767105354332401E-3</v>
      </c>
      <c r="U3" s="73">
        <v>1.5167281467042557E-3</v>
      </c>
      <c r="V3" s="73">
        <v>2.4655076807844829E-4</v>
      </c>
      <c r="W3" s="73">
        <v>8.6812889813380487E-4</v>
      </c>
      <c r="X3" s="73">
        <v>4.8962366961611116E-4</v>
      </c>
      <c r="Y3" s="73">
        <v>2.1278401578029675E-3</v>
      </c>
      <c r="Z3" s="73">
        <v>3.1527410043494106E-4</v>
      </c>
      <c r="AA3" s="73">
        <v>9.7690527381058805E-4</v>
      </c>
      <c r="AB3" s="73">
        <v>4.3833923738954804E-3</v>
      </c>
      <c r="AD3" s="140" t="s">
        <v>2</v>
      </c>
      <c r="AE3" s="48" cm="1">
        <f t="array" ref="AE3">INDEX($G$3:$P$12, ROWS($S$3:S3), COLUMNS($S$3:S3)) * INDEX($D$3:$D$12, ROWS($S$3:S3)) * INDEX($D$3:$D$12, COLUMNS($S$3:S3))</f>
        <v>2.3621755192397859E-3</v>
      </c>
      <c r="AF3" s="117" cm="1">
        <f t="array" ref="AF3">INDEX($G$3:$P$12, ROWS($S$3:T3), COLUMNS($S$3:T3)) * INDEX($D$3:$D$12, ROWS($S$3:T3)) * INDEX($D$3:$D$12, COLUMNS($S$3:T3))</f>
        <v>2.1606096410647434E-3</v>
      </c>
      <c r="AG3" s="117" cm="1">
        <f t="array" ref="AG3">INDEX($G$3:$P$12, ROWS($S$3:U3), COLUMNS($S$3:U3)) * INDEX($D$3:$D$12, ROWS($S$3:U3)) * INDEX($D$3:$D$12, COLUMNS($S$3:U3))</f>
        <v>1.5780039638311075E-3</v>
      </c>
      <c r="AH3" s="117" cm="1">
        <f t="array" ref="AH3">INDEX($G$3:$P$12, ROWS($S$3:V3), COLUMNS($S$3:V3)) * INDEX($D$3:$D$12, ROWS($S$3:V3)) * INDEX($D$3:$D$12, COLUMNS($S$3:V3))</f>
        <v>2.5651141910881754E-4</v>
      </c>
      <c r="AI3" s="117" cm="1">
        <f t="array" ref="AI3">INDEX($G$3:$P$12, ROWS($S$3:W3), COLUMNS($S$3:W3)) * INDEX($D$3:$D$12, ROWS($S$3:W3)) * INDEX($D$3:$D$12, COLUMNS($S$3:W3))</f>
        <v>9.0320130561841053E-4</v>
      </c>
      <c r="AJ3" s="117" cm="1">
        <f t="array" ref="AJ3">INDEX($G$3:$P$12, ROWS($S$3:X3), COLUMNS($S$3:X3)) * INDEX($D$3:$D$12, ROWS($S$3:X3)) * INDEX($D$3:$D$12, COLUMNS($S$3:X3))</f>
        <v>5.0940446586860203E-4</v>
      </c>
      <c r="AK3" s="117" cm="1">
        <f t="array" ref="AK3">INDEX($G$3:$P$12, ROWS($S$3:Y3), COLUMNS($S$3:Y3)) * INDEX($D$3:$D$12, ROWS($S$3:Y3)) * INDEX($D$3:$D$12, COLUMNS($S$3:Y3))</f>
        <v>2.2138049001782078E-3</v>
      </c>
      <c r="AL3" s="117" cm="1">
        <f t="array" ref="AL3">INDEX($G$3:$P$12, ROWS($S$3:Z3), COLUMNS($S$3:Z3)) * INDEX($D$3:$D$12, ROWS($S$3:Z3)) * INDEX($D$3:$D$12, COLUMNS($S$3:Z3))</f>
        <v>3.2801117409251261E-4</v>
      </c>
      <c r="AM3" s="117" cm="1">
        <f t="array" ref="AM3">INDEX($G$3:$P$12, ROWS($S$3:AA3), COLUMNS($S$3:AA3)) * INDEX($D$3:$D$12, ROWS($S$3:AA3)) * INDEX($D$3:$D$12, COLUMNS($S$3:AA3))</f>
        <v>1.0163722468725361E-3</v>
      </c>
      <c r="AN3" s="117" cm="1">
        <f t="array" ref="AN3">INDEX($G$3:$P$12, ROWS($S$3:AB3), COLUMNS($S$3:AB3)) * INDEX($D$3:$D$12, ROWS($S$3:AB3)) * INDEX($D$3:$D$12, COLUMNS($S$3:AB3))</f>
        <v>1.1268374365125148E-3</v>
      </c>
    </row>
    <row r="4" spans="1:40">
      <c r="A4" s="43" t="str">
        <f>Prices!Z$3</f>
        <v>VGK</v>
      </c>
      <c r="B4" s="44">
        <f>Prices!Z4</f>
        <v>8.4964114811374586E-3</v>
      </c>
      <c r="C4" s="44">
        <f>Prices!Z6</f>
        <v>5.2220982812732616E-2</v>
      </c>
      <c r="D4" s="44">
        <f t="shared" ref="D4:D12" si="0">C4*1.02</f>
        <v>5.3265402468987269E-2</v>
      </c>
      <c r="F4" s="10" t="str">
        <v>VGK</v>
      </c>
      <c r="G4" s="16">
        <v>0</v>
      </c>
      <c r="H4" s="17">
        <v>1</v>
      </c>
      <c r="I4" s="17">
        <v>0.7719153526680379</v>
      </c>
      <c r="J4" s="17">
        <v>0.29140302467724011</v>
      </c>
      <c r="K4" s="17">
        <v>0.68294569776688485</v>
      </c>
      <c r="L4" s="17">
        <v>0.56960723740571095</v>
      </c>
      <c r="M4" s="17">
        <v>0.78772612337167713</v>
      </c>
      <c r="N4" s="17">
        <v>0.28156056236336541</v>
      </c>
      <c r="O4" s="17">
        <v>0.48797064277427105</v>
      </c>
      <c r="P4" s="18">
        <v>0.33456398734785325</v>
      </c>
      <c r="R4" s="10" t="str">
        <v>VGK</v>
      </c>
      <c r="S4" s="75">
        <v>2.0767105354332401E-3</v>
      </c>
      <c r="T4" s="76">
        <v>2.7270310459277147E-3</v>
      </c>
      <c r="U4" s="25">
        <v>1.8617816853557869E-3</v>
      </c>
      <c r="V4" s="25">
        <v>3.2035323918017897E-4</v>
      </c>
      <c r="W4" s="25">
        <v>9.8015514569673584E-4</v>
      </c>
      <c r="X4" s="25">
        <v>5.2070188471977405E-4</v>
      </c>
      <c r="Y4" s="25">
        <v>2.2509923860204025E-3</v>
      </c>
      <c r="Z4" s="25">
        <v>6.1674780427122889E-4</v>
      </c>
      <c r="AA4" s="25">
        <v>1.2565361846237073E-3</v>
      </c>
      <c r="AB4" s="25">
        <v>3.4866625773129151E-3</v>
      </c>
      <c r="AD4" s="140" t="s">
        <v>50</v>
      </c>
      <c r="AE4" s="117">
        <f>AF$3</f>
        <v>2.1606096410647434E-3</v>
      </c>
      <c r="AF4" s="48" cm="1">
        <f t="array" ref="AF4">INDEX($G$3:$P$12, ROWS($S$3:T4), COLUMNS($S$3:T4)) * INDEX($D$3:$D$12, ROWS($S$3:T4)) * INDEX($D$3:$D$12, COLUMNS($S$3:T4))</f>
        <v>2.837203100183195E-3</v>
      </c>
      <c r="AG4" s="117" cm="1">
        <f t="array" ref="AG4">INDEX($G$3:$P$12, ROWS($S$3:U4), COLUMNS($S$3:U4)) * INDEX($D$3:$D$12, ROWS($S$3:U4)) * INDEX($D$3:$D$12, COLUMNS($S$3:U4))</f>
        <v>1.9369976654441613E-3</v>
      </c>
      <c r="AH4" s="117" cm="1">
        <f t="array" ref="AH4">INDEX($G$3:$P$12, ROWS($S$3:V4), COLUMNS($S$3:V4)) * INDEX($D$3:$D$12, ROWS($S$3:V4)) * INDEX($D$3:$D$12, COLUMNS($S$3:V4))</f>
        <v>3.332955100430583E-4</v>
      </c>
      <c r="AI4" s="117" cm="1">
        <f t="array" ref="AI4">INDEX($G$3:$P$12, ROWS($S$3:W4), COLUMNS($S$3:W4)) * INDEX($D$3:$D$12, ROWS($S$3:W4)) * INDEX($D$3:$D$12, COLUMNS($S$3:W4))</f>
        <v>1.0197534135828843E-3</v>
      </c>
      <c r="AJ4" s="117" cm="1">
        <f t="array" ref="AJ4">INDEX($G$3:$P$12, ROWS($S$3:X4), COLUMNS($S$3:X4)) * INDEX($D$3:$D$12, ROWS($S$3:X4)) * INDEX($D$3:$D$12, COLUMNS($S$3:X4))</f>
        <v>5.4173824086245297E-4</v>
      </c>
      <c r="AK4" s="117" cm="1">
        <f t="array" ref="AK4">INDEX($G$3:$P$12, ROWS($S$3:Y4), COLUMNS($S$3:Y4)) * INDEX($D$3:$D$12, ROWS($S$3:Y4)) * INDEX($D$3:$D$12, COLUMNS($S$3:Y4))</f>
        <v>2.341932478415628E-3</v>
      </c>
      <c r="AL4" s="117" cm="1">
        <f t="array" ref="AL4">INDEX($G$3:$P$12, ROWS($S$3:Z4), COLUMNS($S$3:Z4)) * INDEX($D$3:$D$12, ROWS($S$3:Z4)) * INDEX($D$3:$D$12, COLUMNS($S$3:Z4))</f>
        <v>6.4166441556378652E-4</v>
      </c>
      <c r="AM4" s="117" cm="1">
        <f t="array" ref="AM4">INDEX($G$3:$P$12, ROWS($S$3:AA4), COLUMNS($S$3:AA4)) * INDEX($D$3:$D$12, ROWS($S$3:AA4)) * INDEX($D$3:$D$12, COLUMNS($S$3:AA4))</f>
        <v>1.3073002464825054E-3</v>
      </c>
      <c r="AN4" s="117" cm="1">
        <f t="array" ref="AN4">INDEX($G$3:$P$12, ROWS($S$3:AB4), COLUMNS($S$3:AB4)) * INDEX($D$3:$D$12, ROWS($S$3:AB4)) * INDEX($D$3:$D$12, COLUMNS($S$3:AB4))</f>
        <v>8.9631536159101013E-4</v>
      </c>
    </row>
    <row r="5" spans="1:40">
      <c r="A5" s="43" t="str">
        <f>Prices!AA$3</f>
        <v>VWO</v>
      </c>
      <c r="B5" s="44">
        <f>Prices!AA4</f>
        <v>5.4307927354481028E-3</v>
      </c>
      <c r="C5" s="44">
        <f>Prices!AA6</f>
        <v>4.6186391648232912E-2</v>
      </c>
      <c r="D5" s="44">
        <f t="shared" si="0"/>
        <v>4.7110119481197574E-2</v>
      </c>
      <c r="F5" s="10" t="str">
        <v>VWO</v>
      </c>
      <c r="G5" s="16">
        <v>0</v>
      </c>
      <c r="H5" s="19">
        <v>0</v>
      </c>
      <c r="I5" s="17">
        <v>1</v>
      </c>
      <c r="J5" s="17">
        <v>0.21723645818688539</v>
      </c>
      <c r="K5" s="17">
        <v>0.64189322701151308</v>
      </c>
      <c r="L5" s="17">
        <v>0.4493184633957199</v>
      </c>
      <c r="M5" s="17">
        <v>0.61941506443092476</v>
      </c>
      <c r="N5" s="17">
        <v>0.34539842831733919</v>
      </c>
      <c r="O5" s="17">
        <v>0.4946949517646817</v>
      </c>
      <c r="P5" s="18">
        <v>0.25634913951749611</v>
      </c>
      <c r="R5" s="10" t="str">
        <v>VWO</v>
      </c>
      <c r="S5" s="75">
        <v>1.5167281467042557E-3</v>
      </c>
      <c r="T5" s="25">
        <v>1.8617816853557869E-3</v>
      </c>
      <c r="U5" s="76">
        <v>2.1331827734839587E-3</v>
      </c>
      <c r="V5" s="25">
        <v>2.11220842524017E-4</v>
      </c>
      <c r="W5" s="25">
        <v>8.1478014395880275E-4</v>
      </c>
      <c r="X5" s="25">
        <v>3.6327616874761429E-4</v>
      </c>
      <c r="Y5" s="25">
        <v>1.5654872467697931E-3</v>
      </c>
      <c r="Z5" s="25">
        <v>6.6915255096715439E-4</v>
      </c>
      <c r="AA5" s="25">
        <v>1.126646770330555E-3</v>
      </c>
      <c r="AB5" s="25">
        <v>2.3628251553027722E-3</v>
      </c>
      <c r="AD5" s="140" t="s">
        <v>51</v>
      </c>
      <c r="AE5" s="117">
        <f>AG3</f>
        <v>1.5780039638311075E-3</v>
      </c>
      <c r="AF5" s="117">
        <f>AG4</f>
        <v>1.9369976654441613E-3</v>
      </c>
      <c r="AG5" s="48" cm="1">
        <f t="array" ref="AG5">INDEX($G$3:$P$12, ROWS($S$3:U5), COLUMNS($S$3:U5)) * INDEX($D$3:$D$12, ROWS($S$3:U5)) * INDEX($D$3:$D$12, COLUMNS($S$3:U5))</f>
        <v>2.2193633575327111E-3</v>
      </c>
      <c r="AH5" s="117" cm="1">
        <f t="array" ref="AH5">INDEX($G$3:$P$12, ROWS($S$3:V5), COLUMNS($S$3:V5)) * INDEX($D$3:$D$12, ROWS($S$3:V5)) * INDEX($D$3:$D$12, COLUMNS($S$3:V5))</f>
        <v>2.1975416456198731E-4</v>
      </c>
      <c r="AI5" s="117" cm="1">
        <f t="array" ref="AI5">INDEX($G$3:$P$12, ROWS($S$3:W5), COLUMNS($S$3:W5)) * INDEX($D$3:$D$12, ROWS($S$3:W5)) * INDEX($D$3:$D$12, COLUMNS($S$3:W5))</f>
        <v>8.4769726177473862E-4</v>
      </c>
      <c r="AJ5" s="117" cm="1">
        <f t="array" ref="AJ5">INDEX($G$3:$P$12, ROWS($S$3:X5), COLUMNS($S$3:X5)) * INDEX($D$3:$D$12, ROWS($S$3:X5)) * INDEX($D$3:$D$12, COLUMNS($S$3:X5))</f>
        <v>3.7795252596501788E-4</v>
      </c>
      <c r="AK5" s="117" cm="1">
        <f t="array" ref="AK5">INDEX($G$3:$P$12, ROWS($S$3:Y5), COLUMNS($S$3:Y5)) * INDEX($D$3:$D$12, ROWS($S$3:Y5)) * INDEX($D$3:$D$12, COLUMNS($S$3:Y5))</f>
        <v>1.6287329315392933E-3</v>
      </c>
      <c r="AL5" s="117" cm="1">
        <f t="array" ref="AL5">INDEX($G$3:$P$12, ROWS($S$3:Z5), COLUMNS($S$3:Z5)) * INDEX($D$3:$D$12, ROWS($S$3:Z5)) * INDEX($D$3:$D$12, COLUMNS($S$3:Z5))</f>
        <v>6.9618631402622744E-4</v>
      </c>
      <c r="AM5" s="117" cm="1">
        <f t="array" ref="AM5">INDEX($G$3:$P$12, ROWS($S$3:AA5), COLUMNS($S$3:AA5)) * INDEX($D$3:$D$12, ROWS($S$3:AA5)) * INDEX($D$3:$D$12, COLUMNS($S$3:AA5))</f>
        <v>1.1721632998519097E-3</v>
      </c>
      <c r="AN5" s="117" cm="1">
        <f t="array" ref="AN5">INDEX($G$3:$P$12, ROWS($S$3:AB5), COLUMNS($S$3:AB5)) * INDEX($D$3:$D$12, ROWS($S$3:AB5)) * INDEX($D$3:$D$12, COLUMNS($S$3:AB5))</f>
        <v>6.0741079370052009E-4</v>
      </c>
    </row>
    <row r="6" spans="1:40">
      <c r="A6" s="43" t="str">
        <f>Prices!AB$3</f>
        <v>IEF</v>
      </c>
      <c r="B6" s="44">
        <f>Prices!AB4</f>
        <v>-3.3629337690558328E-4</v>
      </c>
      <c r="C6" s="44">
        <f>Prices!AB6</f>
        <v>2.1051838188021685E-2</v>
      </c>
      <c r="D6" s="44">
        <f t="shared" si="0"/>
        <v>2.1472874951782118E-2</v>
      </c>
      <c r="F6" s="10" t="str">
        <v>IEF</v>
      </c>
      <c r="G6" s="16">
        <v>0</v>
      </c>
      <c r="H6" s="19">
        <v>0</v>
      </c>
      <c r="I6" s="19">
        <v>0</v>
      </c>
      <c r="J6" s="17">
        <v>0.99999999999999989</v>
      </c>
      <c r="K6" s="17">
        <v>0.78331896244455235</v>
      </c>
      <c r="L6" s="17">
        <v>0.77027045141303074</v>
      </c>
      <c r="M6" s="17">
        <v>0.39468054118563239</v>
      </c>
      <c r="N6" s="17">
        <v>0.36757219930603363</v>
      </c>
      <c r="O6" s="17">
        <v>-0.28839159901766059</v>
      </c>
      <c r="P6" s="18">
        <v>0.11841452314453722</v>
      </c>
      <c r="R6" s="10" t="str">
        <v>IEF</v>
      </c>
      <c r="S6" s="75">
        <v>2.4655076807844829E-4</v>
      </c>
      <c r="T6" s="25">
        <v>3.2035323918017897E-4</v>
      </c>
      <c r="U6" s="25">
        <v>2.11220842524017E-4</v>
      </c>
      <c r="V6" s="76">
        <v>4.4317989109464814E-4</v>
      </c>
      <c r="W6" s="25">
        <v>4.5320247489009821E-4</v>
      </c>
      <c r="X6" s="25">
        <v>2.8385847879062374E-4</v>
      </c>
      <c r="Y6" s="25">
        <v>4.5466285523215955E-4</v>
      </c>
      <c r="Z6" s="25">
        <v>3.2458124892382752E-4</v>
      </c>
      <c r="AA6" s="25">
        <v>-2.9937042360176058E-4</v>
      </c>
      <c r="AB6" s="25">
        <v>4.9748579149017579E-4</v>
      </c>
      <c r="AD6" s="140" t="s">
        <v>52</v>
      </c>
      <c r="AE6" s="117">
        <f>AH3</f>
        <v>2.5651141910881754E-4</v>
      </c>
      <c r="AF6" s="117">
        <f>AH4</f>
        <v>3.332955100430583E-4</v>
      </c>
      <c r="AG6" s="117">
        <f>AH5</f>
        <v>2.1975416456198731E-4</v>
      </c>
      <c r="AH6" s="48" cm="1">
        <f t="array" ref="AH6">INDEX($G$3:$P$12, ROWS($S$3:V6), COLUMNS($S$3:V6)) * INDEX($D$3:$D$12, ROWS($S$3:V6)) * INDEX($D$3:$D$12, COLUMNS($S$3:V6))</f>
        <v>4.6108435869487182E-4</v>
      </c>
      <c r="AI6" s="117" cm="1">
        <f t="array" ref="AI6">INDEX($G$3:$P$12, ROWS($S$3:W6), COLUMNS($S$3:W6)) * INDEX($D$3:$D$12, ROWS($S$3:W6)) * INDEX($D$3:$D$12, COLUMNS($S$3:W6))</f>
        <v>4.7151185487565831E-4</v>
      </c>
      <c r="AJ6" s="117" cm="1">
        <f t="array" ref="AJ6">INDEX($G$3:$P$12, ROWS($S$3:X6), COLUMNS($S$3:X6)) * INDEX($D$3:$D$12, ROWS($S$3:X6)) * INDEX($D$3:$D$12, COLUMNS($S$3:X6))</f>
        <v>2.9532636133376488E-4</v>
      </c>
      <c r="AK6" s="117" cm="1">
        <f t="array" ref="AK6">INDEX($G$3:$P$12, ROWS($S$3:Y6), COLUMNS($S$3:Y6)) * INDEX($D$3:$D$12, ROWS($S$3:Y6)) * INDEX($D$3:$D$12, COLUMNS($S$3:Y6))</f>
        <v>4.7303123458353891E-4</v>
      </c>
      <c r="AL6" s="117" cm="1">
        <f t="array" ref="AL6">INDEX($G$3:$P$12, ROWS($S$3:Z6), COLUMNS($S$3:Z6)) * INDEX($D$3:$D$12, ROWS($S$3:Z6)) * INDEX($D$3:$D$12, COLUMNS($S$3:Z6))</f>
        <v>3.3769433138035006E-4</v>
      </c>
      <c r="AM6" s="117" cm="1">
        <f t="array" ref="AM6">INDEX($G$3:$P$12, ROWS($S$3:AA6), COLUMNS($S$3:AA6)) * INDEX($D$3:$D$12, ROWS($S$3:AA6)) * INDEX($D$3:$D$12, COLUMNS($S$3:AA6))</f>
        <v>-3.1146498871527172E-4</v>
      </c>
      <c r="AN6" s="117" cm="1">
        <f t="array" ref="AN6">INDEX($G$3:$P$12, ROWS($S$3:AB6), COLUMNS($S$3:AB6)) * INDEX($D$3:$D$12, ROWS($S$3:AB6)) * INDEX($D$3:$D$12, COLUMNS($S$3:AB6))</f>
        <v>1.2788853156807449E-4</v>
      </c>
    </row>
    <row r="7" spans="1:40">
      <c r="A7" s="43" t="str">
        <f>Prices!AC$3</f>
        <v>LQD</v>
      </c>
      <c r="B7" s="44">
        <f>Prices!AC4</f>
        <v>5.1088611779445811E-4</v>
      </c>
      <c r="C7" s="44">
        <f>Prices!AC6</f>
        <v>2.7482966572273355E-2</v>
      </c>
      <c r="D7" s="44">
        <f t="shared" si="0"/>
        <v>2.8032625903718824E-2</v>
      </c>
      <c r="F7" s="10" t="str">
        <v>LQD</v>
      </c>
      <c r="G7" s="16">
        <v>0</v>
      </c>
      <c r="H7" s="19">
        <v>0</v>
      </c>
      <c r="I7" s="19">
        <v>0</v>
      </c>
      <c r="J7" s="19">
        <v>0</v>
      </c>
      <c r="K7" s="17">
        <v>1</v>
      </c>
      <c r="L7" s="17">
        <v>0.82397669317346456</v>
      </c>
      <c r="M7" s="17">
        <v>0.73173725049692595</v>
      </c>
      <c r="N7" s="17">
        <v>0.38027928262801997</v>
      </c>
      <c r="O7" s="17">
        <v>8.3179824718509918E-2</v>
      </c>
      <c r="P7" s="18">
        <v>0.31226977241909792</v>
      </c>
      <c r="R7" s="10" t="str">
        <v>LQD</v>
      </c>
      <c r="S7" s="75">
        <v>8.6812889813380487E-4</v>
      </c>
      <c r="T7" s="25">
        <v>9.8015514569673584E-4</v>
      </c>
      <c r="U7" s="25">
        <v>8.1478014395880275E-4</v>
      </c>
      <c r="V7" s="25">
        <v>4.5320247489009821E-4</v>
      </c>
      <c r="W7" s="76">
        <v>7.5531345161269448E-4</v>
      </c>
      <c r="X7" s="25">
        <v>3.964123232234388E-4</v>
      </c>
      <c r="Y7" s="25">
        <v>1.1004555637770645E-3</v>
      </c>
      <c r="Z7" s="25">
        <v>4.3838634944414048E-4</v>
      </c>
      <c r="AA7" s="25">
        <v>1.1272438487899193E-4</v>
      </c>
      <c r="AB7" s="25">
        <v>1.7126919019364571E-3</v>
      </c>
      <c r="AD7" s="140" t="s">
        <v>53</v>
      </c>
      <c r="AE7" s="117">
        <f>AI3</f>
        <v>9.0320130561841053E-4</v>
      </c>
      <c r="AF7" s="117">
        <f>AI4</f>
        <v>1.0197534135828843E-3</v>
      </c>
      <c r="AG7" s="117">
        <f>AI5</f>
        <v>8.4769726177473862E-4</v>
      </c>
      <c r="AH7" s="117">
        <f>AI6</f>
        <v>4.7151185487565831E-4</v>
      </c>
      <c r="AI7" s="48" cm="1">
        <f t="array" ref="AI7">INDEX($G$3:$P$12, ROWS($S$3:W7), COLUMNS($S$3:W7)) * INDEX($D$3:$D$12, ROWS($S$3:W7)) * INDEX($D$3:$D$12, COLUMNS($S$3:W7))</f>
        <v>7.8582811505784761E-4</v>
      </c>
      <c r="AJ7" s="117" cm="1">
        <f t="array" ref="AJ7">INDEX($G$3:$P$12, ROWS($S$3:X7), COLUMNS($S$3:X7)) * INDEX($D$3:$D$12, ROWS($S$3:X7)) * INDEX($D$3:$D$12, COLUMNS($S$3:X7))</f>
        <v>4.1242738108166583E-4</v>
      </c>
      <c r="AK7" s="117" cm="1">
        <f t="array" ref="AK7">INDEX($G$3:$P$12, ROWS($S$3:Y7), COLUMNS($S$3:Y7)) * INDEX($D$3:$D$12, ROWS($S$3:Y7)) * INDEX($D$3:$D$12, COLUMNS($S$3:Y7))</f>
        <v>1.1449139685536585E-3</v>
      </c>
      <c r="AL7" s="117" cm="1">
        <f t="array" ref="AL7">INDEX($G$3:$P$12, ROWS($S$3:Z7), COLUMNS($S$3:Z7)) * INDEX($D$3:$D$12, ROWS($S$3:Z7)) * INDEX($D$3:$D$12, COLUMNS($S$3:Z7))</f>
        <v>4.5609715796168386E-4</v>
      </c>
      <c r="AM7" s="117" cm="1">
        <f t="array" ref="AM7">INDEX($G$3:$P$12, ROWS($S$3:AA7), COLUMNS($S$3:AA7)) * INDEX($D$3:$D$12, ROWS($S$3:AA7)) * INDEX($D$3:$D$12, COLUMNS($S$3:AA7))</f>
        <v>1.1727845002810324E-4</v>
      </c>
      <c r="AN7" s="117" cm="1">
        <f t="array" ref="AN7">INDEX($G$3:$P$12, ROWS($S$3:AB7), COLUMNS($S$3:AB7)) * INDEX($D$3:$D$12, ROWS($S$3:AB7)) * INDEX($D$3:$D$12, COLUMNS($S$3:AB7))</f>
        <v>4.402812223261487E-4</v>
      </c>
    </row>
    <row r="8" spans="1:40">
      <c r="A8" s="43" t="str">
        <f>Prices!AD$3</f>
        <v>TIP</v>
      </c>
      <c r="B8" s="44">
        <f>Prices!AD4</f>
        <v>7.9045932563296274E-4</v>
      </c>
      <c r="C8" s="44">
        <f>Prices!AD6</f>
        <v>1.7505261780072584E-2</v>
      </c>
      <c r="D8" s="44">
        <f t="shared" si="0"/>
        <v>1.7855367015674035E-2</v>
      </c>
      <c r="F8" s="10" t="str">
        <v>TIP</v>
      </c>
      <c r="G8" s="16">
        <v>0</v>
      </c>
      <c r="H8" s="19">
        <v>0</v>
      </c>
      <c r="I8" s="19">
        <v>0</v>
      </c>
      <c r="J8" s="19">
        <v>0</v>
      </c>
      <c r="K8" s="19">
        <v>0</v>
      </c>
      <c r="L8" s="17">
        <v>1.0000000000000002</v>
      </c>
      <c r="M8" s="17">
        <v>0.66911402801895736</v>
      </c>
      <c r="N8" s="17">
        <v>0.41945981181900932</v>
      </c>
      <c r="O8" s="17">
        <v>8.4887186981553259E-2</v>
      </c>
      <c r="P8" s="18">
        <v>0.3461330427145855</v>
      </c>
      <c r="R8" s="10" t="str">
        <v>TIP</v>
      </c>
      <c r="S8" s="75">
        <v>4.8962366961611116E-4</v>
      </c>
      <c r="T8" s="25">
        <v>5.2070188471977405E-4</v>
      </c>
      <c r="U8" s="25">
        <v>3.6327616874761429E-4</v>
      </c>
      <c r="V8" s="25">
        <v>2.8385847879062374E-4</v>
      </c>
      <c r="W8" s="25">
        <v>3.964123232234388E-4</v>
      </c>
      <c r="X8" s="76">
        <v>3.0643418998887008E-4</v>
      </c>
      <c r="Y8" s="25">
        <v>6.4094753467179837E-4</v>
      </c>
      <c r="Z8" s="25">
        <v>3.0799928929517873E-4</v>
      </c>
      <c r="AA8" s="25">
        <v>7.3273513285891046E-5</v>
      </c>
      <c r="AB8" s="25">
        <v>1.2091978261417663E-3</v>
      </c>
      <c r="AD8" s="140" t="s">
        <v>54</v>
      </c>
      <c r="AE8" s="117">
        <f>AJ3</f>
        <v>5.0940446586860203E-4</v>
      </c>
      <c r="AF8" s="117">
        <f>AJ4</f>
        <v>5.4173824086245297E-4</v>
      </c>
      <c r="AG8" s="117">
        <f>AJ5</f>
        <v>3.7795252596501788E-4</v>
      </c>
      <c r="AH8" s="117">
        <f>AJ6</f>
        <v>2.9532636133376488E-4</v>
      </c>
      <c r="AI8" s="117">
        <f>AJ7</f>
        <v>4.1242738108166583E-4</v>
      </c>
      <c r="AJ8" s="48" cm="1">
        <f t="array" ref="AJ8">INDEX($G$3:$P$12, ROWS($S$3:X8), COLUMNS($S$3:X8)) * INDEX($D$3:$D$12, ROWS($S$3:X8)) * INDEX($D$3:$D$12, COLUMNS($S$3:X8))</f>
        <v>3.188141312644204E-4</v>
      </c>
      <c r="AK8" s="117" cm="1">
        <f t="array" ref="AK8">INDEX($G$3:$P$12, ROWS($S$3:Y8), COLUMNS($S$3:Y8)) * INDEX($D$3:$D$12, ROWS($S$3:Y8)) * INDEX($D$3:$D$12, COLUMNS($S$3:Y8))</f>
        <v>6.6684181507253902E-4</v>
      </c>
      <c r="AL8" s="117" cm="1">
        <f t="array" ref="AL8">INDEX($G$3:$P$12, ROWS($S$3:Z8), COLUMNS($S$3:Z8)) * INDEX($D$3:$D$12, ROWS($S$3:Z8)) * INDEX($D$3:$D$12, COLUMNS($S$3:Z8))</f>
        <v>3.2044246058270391E-4</v>
      </c>
      <c r="AM8" s="117" cm="1">
        <f t="array" ref="AM8">INDEX($G$3:$P$12, ROWS($S$3:AA8), COLUMNS($S$3:AA8)) * INDEX($D$3:$D$12, ROWS($S$3:AA8)) * INDEX($D$3:$D$12, COLUMNS($S$3:AA8))</f>
        <v>7.6233763222641039E-5</v>
      </c>
      <c r="AN8" s="117" cm="1">
        <f t="array" ref="AN8">INDEX($G$3:$P$12, ROWS($S$3:AB8), COLUMNS($S$3:AB8)) * INDEX($D$3:$D$12, ROWS($S$3:AB8)) * INDEX($D$3:$D$12, COLUMNS($S$3:AB8))</f>
        <v>3.1084814281300357E-4</v>
      </c>
    </row>
    <row r="9" spans="1:40">
      <c r="A9" s="43" t="str">
        <f>Prices!AE$3</f>
        <v>VNQ</v>
      </c>
      <c r="B9" s="44">
        <f>Prices!AE4</f>
        <v>3.891999054814182E-3</v>
      </c>
      <c r="C9" s="44">
        <f>Prices!AE6</f>
        <v>5.4720963632938928E-2</v>
      </c>
      <c r="D9" s="44">
        <f t="shared" si="0"/>
        <v>5.5815382905597705E-2</v>
      </c>
      <c r="F9" s="10" t="str">
        <v>VNQ</v>
      </c>
      <c r="G9" s="16">
        <v>0</v>
      </c>
      <c r="H9" s="19">
        <v>0</v>
      </c>
      <c r="I9" s="19">
        <v>0</v>
      </c>
      <c r="J9" s="19">
        <v>0</v>
      </c>
      <c r="K9" s="19">
        <v>0</v>
      </c>
      <c r="L9" s="19">
        <v>0</v>
      </c>
      <c r="M9" s="17">
        <v>1.0000000000000002</v>
      </c>
      <c r="N9" s="17">
        <v>0.21561572987866676</v>
      </c>
      <c r="O9" s="17">
        <v>0.35588308562164217</v>
      </c>
      <c r="P9" s="18">
        <v>0.39827181769343001</v>
      </c>
      <c r="R9" s="10" t="str">
        <v>VNQ</v>
      </c>
      <c r="S9" s="75">
        <v>2.1278401578029675E-3</v>
      </c>
      <c r="T9" s="25">
        <v>2.2509923860204025E-3</v>
      </c>
      <c r="U9" s="25">
        <v>1.5654872467697931E-3</v>
      </c>
      <c r="V9" s="25">
        <v>4.5466285523215955E-4</v>
      </c>
      <c r="W9" s="25">
        <v>1.1004555637770645E-3</v>
      </c>
      <c r="X9" s="25">
        <v>6.4094753467179837E-4</v>
      </c>
      <c r="Y9" s="76">
        <v>2.9943838609174235E-3</v>
      </c>
      <c r="Z9" s="25">
        <v>4.9490851330648289E-4</v>
      </c>
      <c r="AA9" s="25">
        <v>9.6027881459056325E-4</v>
      </c>
      <c r="AB9" s="25">
        <v>4.3492963535825581E-3</v>
      </c>
      <c r="AD9" s="140" t="s">
        <v>3</v>
      </c>
      <c r="AE9" s="117">
        <f>AK3</f>
        <v>2.2138049001782078E-3</v>
      </c>
      <c r="AF9" s="117">
        <f>AK4</f>
        <v>2.341932478415628E-3</v>
      </c>
      <c r="AG9" s="117">
        <f>AK5</f>
        <v>1.6287329315392933E-3</v>
      </c>
      <c r="AH9" s="117">
        <f>AK6</f>
        <v>4.7303123458353891E-4</v>
      </c>
      <c r="AI9" s="117">
        <f>AK7</f>
        <v>1.1449139685536585E-3</v>
      </c>
      <c r="AJ9" s="117">
        <f>AK8</f>
        <v>6.6684181507253902E-4</v>
      </c>
      <c r="AK9" s="48" cm="1">
        <f t="array" ref="AK9">INDEX($G$3:$P$12, ROWS($S$3:Y9), COLUMNS($S$3:Y9)) * INDEX($D$3:$D$12, ROWS($S$3:Y9)) * INDEX($D$3:$D$12, COLUMNS($S$3:Y9))</f>
        <v>3.1153569688984893E-3</v>
      </c>
      <c r="AL9" s="117" cm="1">
        <f t="array" ref="AL9">INDEX($G$3:$P$12, ROWS($S$3:Z9), COLUMNS($S$3:Z9)) * INDEX($D$3:$D$12, ROWS($S$3:Z9)) * INDEX($D$3:$D$12, COLUMNS($S$3:Z9))</f>
        <v>5.1490281724406487E-4</v>
      </c>
      <c r="AM9" s="117" cm="1">
        <f t="array" ref="AM9">INDEX($G$3:$P$12, ROWS($S$3:AA9), COLUMNS($S$3:AA9)) * INDEX($D$3:$D$12, ROWS($S$3:AA9)) * INDEX($D$3:$D$12, COLUMNS($S$3:AA9))</f>
        <v>9.9907407870002216E-4</v>
      </c>
      <c r="AN9" s="117" cm="1">
        <f t="array" ref="AN9">INDEX($G$3:$P$12, ROWS($S$3:AB9), COLUMNS($S$3:AB9)) * INDEX($D$3:$D$12, ROWS($S$3:AB9)) * INDEX($D$3:$D$12, COLUMNS($S$3:AB9))</f>
        <v>1.118072382224083E-3</v>
      </c>
    </row>
    <row r="10" spans="1:40">
      <c r="A10" s="43" t="str">
        <f>Prices!AF$3</f>
        <v>GLD</v>
      </c>
      <c r="B10" s="44">
        <f>Prices!AF4</f>
        <v>1.4965569872160762E-2</v>
      </c>
      <c r="C10" s="44">
        <f>Prices!AF6</f>
        <v>4.1946018779376655E-2</v>
      </c>
      <c r="D10" s="44">
        <f t="shared" si="0"/>
        <v>4.2784939154964188E-2</v>
      </c>
      <c r="F10" s="10" t="str">
        <v>GLD</v>
      </c>
      <c r="G10" s="16">
        <v>0</v>
      </c>
      <c r="H10" s="19">
        <v>0</v>
      </c>
      <c r="I10" s="19">
        <v>0</v>
      </c>
      <c r="J10" s="19">
        <v>0</v>
      </c>
      <c r="K10" s="19">
        <v>0</v>
      </c>
      <c r="L10" s="19">
        <v>0</v>
      </c>
      <c r="M10" s="19">
        <v>0</v>
      </c>
      <c r="N10" s="17">
        <v>0.99999999999999989</v>
      </c>
      <c r="O10" s="17">
        <v>3.5311691891397136E-2</v>
      </c>
      <c r="P10" s="18">
        <v>0.13211005837815495</v>
      </c>
      <c r="R10" s="10" t="str">
        <v>GLD</v>
      </c>
      <c r="S10" s="75">
        <v>3.1527410043494106E-4</v>
      </c>
      <c r="T10" s="25">
        <v>6.1674780427122889E-4</v>
      </c>
      <c r="U10" s="25">
        <v>6.6915255096715439E-4</v>
      </c>
      <c r="V10" s="25">
        <v>3.2458124892382752E-4</v>
      </c>
      <c r="W10" s="25">
        <v>4.3838634944414048E-4</v>
      </c>
      <c r="X10" s="25">
        <v>3.0799928929517873E-4</v>
      </c>
      <c r="Y10" s="25">
        <v>4.9490851330648289E-4</v>
      </c>
      <c r="Z10" s="76">
        <v>1.7594684914398191E-3</v>
      </c>
      <c r="AA10" s="25">
        <v>7.3037439068179897E-5</v>
      </c>
      <c r="AB10" s="25">
        <v>1.1058909888860716E-3</v>
      </c>
      <c r="AD10" s="140" t="s">
        <v>55</v>
      </c>
      <c r="AE10" s="117">
        <f>AL3</f>
        <v>3.2801117409251261E-4</v>
      </c>
      <c r="AF10" s="117">
        <f>AL4</f>
        <v>6.4166441556378652E-4</v>
      </c>
      <c r="AG10" s="117">
        <f>AL5</f>
        <v>6.9618631402622744E-4</v>
      </c>
      <c r="AH10" s="117">
        <f>AL6</f>
        <v>3.3769433138035006E-4</v>
      </c>
      <c r="AI10" s="117">
        <f>AL7</f>
        <v>4.5609715796168386E-4</v>
      </c>
      <c r="AJ10" s="117">
        <f>AL8</f>
        <v>3.2044246058270391E-4</v>
      </c>
      <c r="AK10" s="117">
        <f>AL9</f>
        <v>5.1490281724406487E-4</v>
      </c>
      <c r="AL10" s="48" cm="1">
        <f t="array" ref="AL10">INDEX($G$3:$P$12, ROWS($S$3:Z10), COLUMNS($S$3:Z10)) * INDEX($D$3:$D$12, ROWS($S$3:Z10)) * INDEX($D$3:$D$12, COLUMNS($S$3:Z10))</f>
        <v>1.8305510184939875E-3</v>
      </c>
      <c r="AM10" s="117" cm="1">
        <f t="array" ref="AM10">INDEX($G$3:$P$12, ROWS($S$3:AA10), COLUMNS($S$3:AA10)) * INDEX($D$3:$D$12, ROWS($S$3:AA10)) * INDEX($D$3:$D$12, COLUMNS($S$3:AA10))</f>
        <v>7.5988151606534365E-5</v>
      </c>
      <c r="AN10" s="117" cm="1">
        <f t="array" ref="AN10">INDEX($G$3:$P$12, ROWS($S$3:AB10), COLUMNS($S$3:AB10)) * INDEX($D$3:$D$12, ROWS($S$3:AB10)) * INDEX($D$3:$D$12, COLUMNS($S$3:AB10))</f>
        <v>2.8429108340835579E-4</v>
      </c>
    </row>
    <row r="11" spans="1:40">
      <c r="A11" s="43" t="str">
        <f>Prices!AG$3</f>
        <v>DBC</v>
      </c>
      <c r="B11" s="44">
        <f>Prices!AG4</f>
        <v>6.0828470658512877E-3</v>
      </c>
      <c r="C11" s="44">
        <f>Prices!AG6</f>
        <v>4.9310143184493317E-2</v>
      </c>
      <c r="D11" s="44">
        <f t="shared" si="0"/>
        <v>5.0296346048183185E-2</v>
      </c>
      <c r="F11" s="10" t="str">
        <v>DBC</v>
      </c>
      <c r="G11" s="20">
        <v>0</v>
      </c>
      <c r="H11" s="21">
        <v>0</v>
      </c>
      <c r="I11" s="21">
        <v>0</v>
      </c>
      <c r="J11" s="21">
        <v>0</v>
      </c>
      <c r="K11" s="21">
        <v>0</v>
      </c>
      <c r="L11" s="21">
        <v>0</v>
      </c>
      <c r="M11" s="21">
        <v>0</v>
      </c>
      <c r="N11" s="21">
        <v>0</v>
      </c>
      <c r="O11" s="17">
        <v>1.0000000000000002</v>
      </c>
      <c r="P11" s="18">
        <v>0.10625790863747228</v>
      </c>
      <c r="R11" s="10" t="str">
        <v>DBC</v>
      </c>
      <c r="S11" s="75">
        <v>9.7690527381058805E-4</v>
      </c>
      <c r="T11" s="25">
        <v>1.2565361846237073E-3</v>
      </c>
      <c r="U11" s="25">
        <v>1.126646770330555E-3</v>
      </c>
      <c r="V11" s="25">
        <v>-2.9937042360176058E-4</v>
      </c>
      <c r="W11" s="25">
        <v>1.1272438487899193E-4</v>
      </c>
      <c r="X11" s="25">
        <v>7.3273513285891046E-5</v>
      </c>
      <c r="Y11" s="25">
        <v>9.6027881459056325E-4</v>
      </c>
      <c r="Z11" s="25">
        <v>7.3037439068179897E-5</v>
      </c>
      <c r="AA11" s="76">
        <v>2.4314902208752327E-3</v>
      </c>
      <c r="AB11" s="25">
        <v>1.0456424726550766E-3</v>
      </c>
      <c r="AD11" s="140" t="s">
        <v>4</v>
      </c>
      <c r="AE11" s="117">
        <f>AM3</f>
        <v>1.0163722468725361E-3</v>
      </c>
      <c r="AF11" s="117">
        <f>AM4</f>
        <v>1.3073002464825054E-3</v>
      </c>
      <c r="AG11" s="117">
        <f>AM5</f>
        <v>1.1721632998519097E-3</v>
      </c>
      <c r="AH11" s="117">
        <f>AM6</f>
        <v>-3.1146498871527172E-4</v>
      </c>
      <c r="AI11" s="117">
        <f>AM7</f>
        <v>1.1727845002810324E-4</v>
      </c>
      <c r="AJ11" s="117">
        <f>AM8</f>
        <v>7.6233763222641039E-5</v>
      </c>
      <c r="AK11" s="117">
        <f>AM9</f>
        <v>9.9907407870002216E-4</v>
      </c>
      <c r="AL11" s="117">
        <f>AM10</f>
        <v>7.5988151606534365E-5</v>
      </c>
      <c r="AM11" s="48" cm="1">
        <f t="array" ref="AM11">INDEX($G$3:$P$12, ROWS($S$3:AA11), COLUMNS($S$3:AA11)) * INDEX($D$3:$D$12, ROWS($S$3:AA11)) * INDEX($D$3:$D$12, COLUMNS($S$3:AA11))</f>
        <v>2.5297224257985929E-3</v>
      </c>
      <c r="AN11" s="117" cm="1">
        <f t="array" ref="AN11">INDEX($G$3:$P$12, ROWS($S$3:AB11), COLUMNS($S$3:AB11)) * INDEX($D$3:$D$12, ROWS($S$3:AB11)) * INDEX($D$3:$D$12, COLUMNS($S$3:AB11))</f>
        <v>2.6880301439867157E-4</v>
      </c>
    </row>
    <row r="12" spans="1:40">
      <c r="A12" s="46" t="str">
        <f>Prices!AH$3</f>
        <v>BTC</v>
      </c>
      <c r="B12" s="47">
        <f>Prices!AH4</f>
        <v>5.7898273179662139E-2</v>
      </c>
      <c r="C12" s="47">
        <f>Prices!AG6</f>
        <v>4.9310143184493317E-2</v>
      </c>
      <c r="D12" s="47">
        <f t="shared" si="0"/>
        <v>5.0296346048183185E-2</v>
      </c>
      <c r="F12" s="10" t="str">
        <v>BTC</v>
      </c>
      <c r="G12" s="22">
        <v>0</v>
      </c>
      <c r="H12" s="23">
        <v>0</v>
      </c>
      <c r="I12" s="23">
        <v>0</v>
      </c>
      <c r="J12" s="23">
        <v>0</v>
      </c>
      <c r="K12" s="23">
        <v>0</v>
      </c>
      <c r="L12" s="23">
        <v>0</v>
      </c>
      <c r="M12" s="23">
        <v>0</v>
      </c>
      <c r="N12" s="23">
        <v>0</v>
      </c>
      <c r="O12" s="23">
        <v>0</v>
      </c>
      <c r="P12" s="24">
        <v>1.0000000000000002</v>
      </c>
      <c r="R12" s="10" t="str">
        <v>BTC</v>
      </c>
      <c r="S12" s="78">
        <v>4.3833923738954804E-3</v>
      </c>
      <c r="T12" s="79">
        <v>3.4866625773129151E-3</v>
      </c>
      <c r="U12" s="79">
        <v>2.3628251553027722E-3</v>
      </c>
      <c r="V12" s="79">
        <v>4.9748579149017579E-4</v>
      </c>
      <c r="W12" s="79">
        <v>1.7126919019364571E-3</v>
      </c>
      <c r="X12" s="79">
        <v>1.2091978261417663E-3</v>
      </c>
      <c r="Y12" s="79">
        <v>4.3492963535825581E-3</v>
      </c>
      <c r="Z12" s="79">
        <v>1.1058909888860716E-3</v>
      </c>
      <c r="AA12" s="79">
        <v>1.0456424726550766E-3</v>
      </c>
      <c r="AB12" s="76">
        <v>3.9826429757608237E-2</v>
      </c>
      <c r="AD12" s="140" t="s">
        <v>56</v>
      </c>
      <c r="AE12" s="117">
        <f>AN3</f>
        <v>1.1268374365125148E-3</v>
      </c>
      <c r="AF12" s="117">
        <f>AN4</f>
        <v>8.9631536159101013E-4</v>
      </c>
      <c r="AG12" s="117">
        <f>AN5</f>
        <v>6.0741079370052009E-4</v>
      </c>
      <c r="AH12" s="117">
        <f>AN6</f>
        <v>1.2788853156807449E-4</v>
      </c>
      <c r="AI12" s="117">
        <f>AN7</f>
        <v>4.402812223261487E-4</v>
      </c>
      <c r="AJ12" s="117">
        <f>AN8</f>
        <v>3.1084814281300357E-4</v>
      </c>
      <c r="AK12" s="117">
        <f>AN9</f>
        <v>1.118072382224083E-3</v>
      </c>
      <c r="AL12" s="117">
        <f>AN10</f>
        <v>2.8429108340835579E-4</v>
      </c>
      <c r="AM12" s="117">
        <f>AN11</f>
        <v>2.6880301439867157E-4</v>
      </c>
      <c r="AN12" s="48" cm="1">
        <f t="array" ref="AN12">INDEX($G$3:$P$12, ROWS($S$3:AB12), COLUMNS($S$3:AB12)) * INDEX($D$3:$D$12, ROWS($S$3:AB12)) * INDEX($D$3:$D$12, COLUMNS($S$3:AB12))</f>
        <v>2.5297224257985929E-3</v>
      </c>
    </row>
    <row r="13" spans="1:40" ht="68">
      <c r="A13" s="53" t="str">
        <f>'No short sales'!A13</f>
        <v>Fama/French 3 Factors (Monthly)</v>
      </c>
      <c r="B13" s="88">
        <f>'Efficient Frontier &amp; Specific '!B14</f>
        <v>2.1049382716049381E-5</v>
      </c>
    </row>
    <row r="20" spans="2:19" ht="19">
      <c r="B20" s="87" t="s">
        <v>32</v>
      </c>
      <c r="C20" s="86"/>
      <c r="D20" s="86"/>
      <c r="E20" s="86"/>
      <c r="F20" s="86"/>
      <c r="G20" s="86"/>
      <c r="H20" s="86"/>
      <c r="I20" s="86"/>
      <c r="J20" s="86"/>
      <c r="K20" s="86"/>
      <c r="L20" s="86"/>
      <c r="M20" s="86"/>
      <c r="N20" s="86"/>
      <c r="O20" s="86"/>
      <c r="P20" s="86"/>
      <c r="Q20" s="86"/>
      <c r="R20" s="86"/>
      <c r="S20" s="84"/>
    </row>
    <row r="21" spans="2:19" ht="51">
      <c r="B21" s="61" t="s">
        <v>14</v>
      </c>
      <c r="C21" s="61" t="s">
        <v>15</v>
      </c>
      <c r="D21" s="61" t="s">
        <v>16</v>
      </c>
      <c r="E21" s="61" t="s">
        <v>17</v>
      </c>
      <c r="F21" s="61" t="s">
        <v>18</v>
      </c>
      <c r="G21" s="61" t="s">
        <v>19</v>
      </c>
      <c r="H21" s="61" t="s">
        <v>20</v>
      </c>
      <c r="I21" s="61" t="s">
        <v>21</v>
      </c>
      <c r="J21" s="61" t="s">
        <v>22</v>
      </c>
      <c r="K21" s="61" t="s">
        <v>23</v>
      </c>
      <c r="L21" s="61" t="s">
        <v>24</v>
      </c>
      <c r="M21" s="61" t="s">
        <v>25</v>
      </c>
      <c r="N21" s="61" t="s">
        <v>26</v>
      </c>
      <c r="O21" s="62" t="s">
        <v>12</v>
      </c>
      <c r="P21" s="62" t="s">
        <v>30</v>
      </c>
      <c r="Q21" s="61" t="s">
        <v>13</v>
      </c>
    </row>
    <row r="22" spans="2:19">
      <c r="B22" s="68">
        <f>SUM(C22:L22)</f>
        <v>0.99999999669883644</v>
      </c>
      <c r="C22" s="65">
        <v>0.60492638669608489</v>
      </c>
      <c r="D22" s="65">
        <v>8.4071756393165248E-2</v>
      </c>
      <c r="E22" s="66">
        <v>-5.2811720371753551E-2</v>
      </c>
      <c r="F22" s="65">
        <v>2.9559438216182459</v>
      </c>
      <c r="G22" s="65">
        <v>-1.6951634191409435</v>
      </c>
      <c r="H22" s="65">
        <v>-3.3051667255045882</v>
      </c>
      <c r="I22" s="65">
        <v>-0.38615096939881155</v>
      </c>
      <c r="J22" s="65">
        <v>0.65117723413228412</v>
      </c>
      <c r="K22" s="65">
        <v>0.35435922598170105</v>
      </c>
      <c r="L22" s="65">
        <v>1.7888144062934521</v>
      </c>
      <c r="M22" s="81" cm="1">
        <f t="array" ref="M22">MMULT(MMULT(C22:L22,AE3:AN12),TRANSPOSE(C22:L22))</f>
        <v>7.612781343337309E-3</v>
      </c>
      <c r="N22" s="65">
        <f>SQRT(M22)</f>
        <v>8.725125410753308E-2</v>
      </c>
      <c r="O22" s="82" cm="1">
        <f t="array" ref="O22">MMULT(C22:L22,B3:B12)</f>
        <v>0.11799999988717388</v>
      </c>
      <c r="P22" s="67">
        <f>11.8%</f>
        <v>0.11800000000000001</v>
      </c>
      <c r="Q22" s="104">
        <f>(O22-B13)/N22</f>
        <v>1.3521748393330175</v>
      </c>
    </row>
    <row r="23" spans="2:19">
      <c r="B23" s="39"/>
      <c r="E23" s="38"/>
    </row>
    <row r="24" spans="2:19">
      <c r="B24" s="39"/>
      <c r="E24" s="38"/>
    </row>
    <row r="25" spans="2:19" ht="19">
      <c r="B25" s="87" t="s">
        <v>47</v>
      </c>
      <c r="C25" s="84"/>
      <c r="D25" s="84"/>
      <c r="E25" s="85"/>
      <c r="F25" s="84"/>
      <c r="G25" s="84"/>
      <c r="H25" s="84"/>
      <c r="I25" s="84"/>
      <c r="J25" s="84"/>
      <c r="K25" s="84"/>
      <c r="L25" s="84"/>
      <c r="M25" s="84"/>
      <c r="N25" s="84"/>
      <c r="O25" s="84"/>
      <c r="P25" s="84"/>
      <c r="Q25" s="84"/>
      <c r="R25" s="84"/>
      <c r="S25" s="84"/>
    </row>
    <row r="26" spans="2:19">
      <c r="B26" s="61" t="s">
        <v>14</v>
      </c>
    </row>
    <row r="27" spans="2:19">
      <c r="B27" s="144">
        <v>1.0000000040517398</v>
      </c>
      <c r="C27" s="89">
        <v>2.8092207002876738E-2</v>
      </c>
      <c r="D27" s="89">
        <v>-8.9062023560302753E-2</v>
      </c>
      <c r="E27" s="89">
        <v>8.4911272415893579E-2</v>
      </c>
      <c r="F27" s="89">
        <v>0.45362712129408733</v>
      </c>
      <c r="G27" s="89">
        <v>-0.28746461856167754</v>
      </c>
      <c r="H27" s="89">
        <v>0.87821618918813338</v>
      </c>
      <c r="I27" s="89">
        <v>-0.11141884815585097</v>
      </c>
      <c r="J27" s="89">
        <v>-6.2412382404850274E-2</v>
      </c>
      <c r="K27" s="89">
        <v>0.15855467509748275</v>
      </c>
      <c r="L27" s="89">
        <v>-5.3043588264052206E-2</v>
      </c>
      <c r="M27" s="83">
        <v>2.0951370860351236E-4</v>
      </c>
      <c r="N27" s="89">
        <v>1.447458837423408E-2</v>
      </c>
      <c r="O27" s="89">
        <v>-3.0000000996304298E-3</v>
      </c>
      <c r="P27" s="54"/>
    </row>
    <row r="28" spans="2:19">
      <c r="B28" s="144">
        <v>1.0000000076645885</v>
      </c>
      <c r="C28" s="89">
        <v>4.2393889048276526E-2</v>
      </c>
      <c r="D28" s="89">
        <v>-8.4769503173031072E-2</v>
      </c>
      <c r="E28" s="92">
        <v>8.1496574834024033E-2</v>
      </c>
      <c r="F28" s="89">
        <v>0.51566787945802384</v>
      </c>
      <c r="G28" s="89">
        <v>-0.32236605995736511</v>
      </c>
      <c r="H28" s="89">
        <v>0.77449579396667467</v>
      </c>
      <c r="I28" s="89">
        <v>-0.11823033591185242</v>
      </c>
      <c r="J28" s="89">
        <v>-4.4720012443274545E-2</v>
      </c>
      <c r="K28" s="89">
        <v>0.16340943445212594</v>
      </c>
      <c r="L28" s="89">
        <v>-7.3776526090135229E-3</v>
      </c>
      <c r="M28" s="83">
        <v>1.9143214662296261E-4</v>
      </c>
      <c r="N28" s="89">
        <v>1.383590064372257E-2</v>
      </c>
      <c r="O28" s="89">
        <v>2.9799353976696537E-9</v>
      </c>
    </row>
    <row r="29" spans="2:19">
      <c r="B29" s="145">
        <v>1</v>
      </c>
      <c r="C29" s="93">
        <v>6.0465002320852945E-2</v>
      </c>
      <c r="D29" s="93">
        <v>-7.9345261892428312E-2</v>
      </c>
      <c r="E29" s="93">
        <v>7.7181716379689028E-2</v>
      </c>
      <c r="F29" s="93">
        <v>0.59405900125570776</v>
      </c>
      <c r="G29" s="93">
        <v>-0.36646560927655658</v>
      </c>
      <c r="H29" s="93">
        <v>0.64343875287911034</v>
      </c>
      <c r="I29" s="93">
        <v>-0.12683840790954293</v>
      </c>
      <c r="J29" s="93">
        <v>-2.236442499230288E-2</v>
      </c>
      <c r="K29" s="93">
        <v>0.16954325844978016</v>
      </c>
      <c r="L29" s="93">
        <v>5.0325972785690551E-2</v>
      </c>
      <c r="M29" s="94">
        <v>1.8324692908466061E-4</v>
      </c>
      <c r="N29" s="93">
        <v>1.3536872943359578E-2</v>
      </c>
      <c r="O29" s="93">
        <v>3.7908003738011163E-3</v>
      </c>
      <c r="P29" s="54" t="s">
        <v>67</v>
      </c>
      <c r="Q29" s="54"/>
    </row>
    <row r="30" spans="2:19">
      <c r="B30" s="144">
        <v>1.000000024701047</v>
      </c>
      <c r="C30" s="89">
        <v>8.0531590660678151E-2</v>
      </c>
      <c r="D30" s="89">
        <v>-7.3322637746621774E-2</v>
      </c>
      <c r="E30" s="89">
        <v>7.2390967006029705E-2</v>
      </c>
      <c r="F30" s="89">
        <v>0.68110992343070043</v>
      </c>
      <c r="G30" s="89">
        <v>-0.41543700583802484</v>
      </c>
      <c r="H30" s="89">
        <v>0.49790915313365403</v>
      </c>
      <c r="I30" s="89">
        <v>-0.13639449201861964</v>
      </c>
      <c r="J30" s="89">
        <v>2.4594316788583113E-3</v>
      </c>
      <c r="K30" s="89">
        <v>0.17635502524905358</v>
      </c>
      <c r="L30" s="89">
        <v>0.11439806914533891</v>
      </c>
      <c r="M30" s="83">
        <v>1.9333831694860182E-4</v>
      </c>
      <c r="N30" s="89">
        <v>1.3904614951468516E-2</v>
      </c>
      <c r="O30" s="89">
        <v>8.0000001681177855E-3</v>
      </c>
    </row>
    <row r="31" spans="2:19">
      <c r="B31" s="144">
        <v>0.99999998752843866</v>
      </c>
      <c r="C31" s="89">
        <v>0.12820348665149586</v>
      </c>
      <c r="D31" s="89">
        <v>-5.9013648321966004E-2</v>
      </c>
      <c r="E31" s="89">
        <v>6.1008860231387997E-2</v>
      </c>
      <c r="F31" s="89">
        <v>0.88791178183374098</v>
      </c>
      <c r="G31" s="89">
        <v>-0.53177622756168486</v>
      </c>
      <c r="H31" s="89">
        <v>0.15217688838671137</v>
      </c>
      <c r="I31" s="89">
        <v>-0.15909977289805466</v>
      </c>
      <c r="J31" s="89">
        <v>6.1433687798343496E-2</v>
      </c>
      <c r="K31" s="89">
        <v>0.1925371596360862</v>
      </c>
      <c r="L31" s="89">
        <v>0.26661777177237839</v>
      </c>
      <c r="M31" s="83">
        <v>2.9824657259397305E-4</v>
      </c>
      <c r="N31" s="89">
        <v>1.7269816808350141E-2</v>
      </c>
      <c r="O31" s="89">
        <v>1.8000000022828363E-2</v>
      </c>
    </row>
    <row r="32" spans="2:19">
      <c r="B32" s="144">
        <v>0.99999999593738798</v>
      </c>
      <c r="C32" s="89">
        <v>0.17587585514607762</v>
      </c>
      <c r="D32" s="89">
        <v>-4.4704756339915212E-2</v>
      </c>
      <c r="E32" s="89">
        <v>4.9626734950158617E-2</v>
      </c>
      <c r="F32" s="89">
        <v>1.094715444742447</v>
      </c>
      <c r="G32" s="89">
        <v>-0.64811442811054754</v>
      </c>
      <c r="H32" s="89">
        <v>-0.19355872957450732</v>
      </c>
      <c r="I32" s="89">
        <v>-0.18180509691151528</v>
      </c>
      <c r="J32" s="89">
        <v>0.12040805972128807</v>
      </c>
      <c r="K32" s="89">
        <v>0.2087195345953517</v>
      </c>
      <c r="L32" s="89">
        <v>0.41883737771855029</v>
      </c>
      <c r="M32" s="83">
        <v>5.1707215303708207E-4</v>
      </c>
      <c r="N32" s="89">
        <v>2.2739220589920887E-2</v>
      </c>
      <c r="O32" s="89">
        <v>2.7999999954032684E-2</v>
      </c>
    </row>
    <row r="33" spans="2:16">
      <c r="B33" s="144">
        <v>1.0000000107470135</v>
      </c>
      <c r="C33" s="89">
        <v>0.22462229890596572</v>
      </c>
      <c r="D33" s="89">
        <v>-3.2642413721687462E-2</v>
      </c>
      <c r="E33" s="89">
        <v>3.9059951971280947E-2</v>
      </c>
      <c r="F33" s="89">
        <v>1.3025420399465362</v>
      </c>
      <c r="G33" s="89">
        <v>-0.76464721516830547</v>
      </c>
      <c r="H33" s="89">
        <v>-0.54064994751624007</v>
      </c>
      <c r="I33" s="89">
        <v>-0.2039851712667187</v>
      </c>
      <c r="J33" s="89">
        <v>0.17963087593728699</v>
      </c>
      <c r="K33" s="89">
        <v>0.22510092239918247</v>
      </c>
      <c r="L33" s="89">
        <v>0.57096866925971312</v>
      </c>
      <c r="M33" s="83">
        <v>8.4981907920387428E-4</v>
      </c>
      <c r="N33" s="89">
        <v>2.9151656543048705E-2</v>
      </c>
      <c r="O33" s="89">
        <v>3.8000027981024739E-2</v>
      </c>
    </row>
    <row r="34" spans="2:16">
      <c r="B34" s="144">
        <f>SUM(C34:L34)</f>
        <v>1.0000000177650681</v>
      </c>
      <c r="C34" s="141">
        <v>0.27121991436641835</v>
      </c>
      <c r="D34" s="141">
        <v>-1.6087793730861725E-2</v>
      </c>
      <c r="E34" s="142">
        <v>2.6863028613463229E-2</v>
      </c>
      <c r="F34" s="141">
        <v>1.5083208438698621</v>
      </c>
      <c r="G34" s="141">
        <v>-0.88079291566452556</v>
      </c>
      <c r="H34" s="141">
        <v>-0.8850246693882976</v>
      </c>
      <c r="I34" s="141">
        <v>-0.22721525896727141</v>
      </c>
      <c r="J34" s="141">
        <v>0.23835660071251444</v>
      </c>
      <c r="K34" s="141">
        <v>0.24108340320799679</v>
      </c>
      <c r="L34" s="141">
        <v>0.72327686474576958</v>
      </c>
      <c r="M34" s="143">
        <v>1.2964752464662607E-3</v>
      </c>
      <c r="N34" s="141">
        <v>3.6006600040357335E-2</v>
      </c>
      <c r="O34" s="141">
        <v>4.7999999935538246E-2</v>
      </c>
      <c r="P34" s="54"/>
    </row>
    <row r="35" spans="2:16">
      <c r="B35" s="144">
        <v>1.0000000096784936</v>
      </c>
      <c r="C35" s="89">
        <v>0.32294946976870764</v>
      </c>
      <c r="D35" s="89">
        <v>-1.5816050247380652E-2</v>
      </c>
      <c r="E35" s="89">
        <v>2.6881174914279958E-2</v>
      </c>
      <c r="F35" s="89">
        <v>1.7223668524634028</v>
      </c>
      <c r="G35" s="89">
        <v>-1.0089399909518206</v>
      </c>
      <c r="H35" s="89">
        <v>-1.2327130896960052</v>
      </c>
      <c r="I35" s="89">
        <v>-0.24417705367125506</v>
      </c>
      <c r="J35" s="89">
        <v>0.29746788919579081</v>
      </c>
      <c r="K35" s="89">
        <v>0.25660907424663693</v>
      </c>
      <c r="L35" s="89">
        <v>0.87537173365613707</v>
      </c>
      <c r="M35" s="83">
        <v>1.857205982374676E-3</v>
      </c>
      <c r="N35" s="89">
        <v>4.309531276571358E-2</v>
      </c>
      <c r="O35" s="89">
        <v>5.7999999971648286E-2</v>
      </c>
    </row>
    <row r="36" spans="2:16">
      <c r="B36" s="145">
        <v>1.00000003148271</v>
      </c>
      <c r="C36" s="93">
        <v>0.5102565966261462</v>
      </c>
      <c r="D36" s="93">
        <v>5.5639556238422164E-2</v>
      </c>
      <c r="E36" s="93">
        <v>-3.020765202950906E-2</v>
      </c>
      <c r="F36" s="93">
        <v>2.5452278406023239</v>
      </c>
      <c r="G36" s="93">
        <v>-1.4641105054306021</v>
      </c>
      <c r="H36" s="93">
        <v>-2.6185264463241151</v>
      </c>
      <c r="I36" s="93">
        <v>-0.34104624702898634</v>
      </c>
      <c r="J36" s="93">
        <v>0.53405163624411178</v>
      </c>
      <c r="K36" s="93">
        <v>0.32222142897438549</v>
      </c>
      <c r="L36" s="93">
        <v>1.4864938236105327</v>
      </c>
      <c r="M36" s="94">
        <v>5.2534938451427367E-3</v>
      </c>
      <c r="N36" s="93">
        <v>7.2480989543070792E-2</v>
      </c>
      <c r="O36" s="93">
        <v>9.8139273276901917E-2</v>
      </c>
      <c r="P36" s="54" t="s">
        <v>68</v>
      </c>
    </row>
    <row r="37" spans="2:16">
      <c r="B37" s="144">
        <v>0.99999999669883644</v>
      </c>
      <c r="C37" s="89">
        <v>0.60492638669608489</v>
      </c>
      <c r="D37" s="89">
        <v>8.4071756393165248E-2</v>
      </c>
      <c r="E37" s="89">
        <v>-5.2811720371753551E-2</v>
      </c>
      <c r="F37" s="89">
        <v>2.9559438216182459</v>
      </c>
      <c r="G37" s="89">
        <v>-1.6951634191409435</v>
      </c>
      <c r="H37" s="89">
        <v>-3.3051667255045882</v>
      </c>
      <c r="I37" s="89">
        <v>-0.38615096939881155</v>
      </c>
      <c r="J37" s="89">
        <v>0.65117723413228412</v>
      </c>
      <c r="K37" s="89">
        <v>0.35435922598170105</v>
      </c>
      <c r="L37" s="89">
        <v>1.7888144062934521</v>
      </c>
      <c r="M37" s="89">
        <v>7.612781343337309E-3</v>
      </c>
      <c r="N37" s="89">
        <v>8.725125410753308E-2</v>
      </c>
      <c r="O37" s="89">
        <v>0.11799999988717388</v>
      </c>
    </row>
    <row r="38" spans="2:16">
      <c r="B38" s="91"/>
      <c r="C38" s="95"/>
      <c r="D38" s="95"/>
      <c r="E38" s="95"/>
      <c r="F38" s="95"/>
      <c r="G38" s="95"/>
      <c r="H38" s="95"/>
      <c r="I38" s="95"/>
      <c r="J38" s="95"/>
      <c r="K38" s="95"/>
      <c r="L38" s="95"/>
      <c r="N38" s="174"/>
      <c r="O38" s="174"/>
    </row>
    <row r="39" spans="2:16">
      <c r="N39" s="165" t="s">
        <v>39</v>
      </c>
      <c r="O39" s="166"/>
    </row>
    <row r="40" spans="2:16">
      <c r="C40" s="1"/>
      <c r="D40" s="1"/>
      <c r="E40" s="1"/>
      <c r="F40" s="1"/>
      <c r="G40" s="1"/>
      <c r="H40" s="1"/>
      <c r="I40" s="1"/>
      <c r="J40" s="1"/>
      <c r="K40" s="1"/>
      <c r="L40" s="1"/>
      <c r="M40" s="136" t="s">
        <v>35</v>
      </c>
      <c r="N40" s="131">
        <v>0</v>
      </c>
      <c r="O40" s="132">
        <f>B13</f>
        <v>2.1049382716049381E-5</v>
      </c>
    </row>
    <row r="41" spans="2:16">
      <c r="M41" s="134" t="s">
        <v>36</v>
      </c>
      <c r="N41" s="135">
        <f>N36</f>
        <v>7.2480989543070792E-2</v>
      </c>
      <c r="O41" s="135">
        <f>O36</f>
        <v>9.8139273276901917E-2</v>
      </c>
    </row>
    <row r="42" spans="2:16">
      <c r="M42" s="38"/>
      <c r="N42" s="99"/>
      <c r="O42" s="99"/>
    </row>
    <row r="43" spans="2:16" ht="16" customHeight="1">
      <c r="C43" s="95"/>
      <c r="D43" s="95"/>
      <c r="E43" s="95"/>
      <c r="J43" s="95"/>
      <c r="K43" s="95"/>
      <c r="L43" s="95"/>
      <c r="M43" s="130" t="s">
        <v>65</v>
      </c>
      <c r="N43" s="103"/>
      <c r="O43" s="103"/>
    </row>
    <row r="44" spans="2:16" ht="16" customHeight="1">
      <c r="M44" s="117">
        <v>0</v>
      </c>
      <c r="N44" s="128">
        <f>$N$36*M44</f>
        <v>0</v>
      </c>
      <c r="O44" s="129">
        <f>$B$14+M44*($O$36-$B$14)</f>
        <v>0</v>
      </c>
    </row>
    <row r="45" spans="2:16">
      <c r="M45" s="117">
        <v>0.25</v>
      </c>
      <c r="N45" s="128">
        <f t="shared" ref="N45:N50" si="1">$N$36*M45</f>
        <v>1.8120247385767698E-2</v>
      </c>
      <c r="O45" s="129">
        <f t="shared" ref="O45:O50" si="2">$B$14+M45*($O$36-$B$14)</f>
        <v>2.4534818319225479E-2</v>
      </c>
    </row>
    <row r="46" spans="2:16">
      <c r="M46" s="117">
        <v>0.5</v>
      </c>
      <c r="N46" s="128">
        <f t="shared" si="1"/>
        <v>3.6240494771535396E-2</v>
      </c>
      <c r="O46" s="129">
        <f t="shared" si="2"/>
        <v>4.9069636638450959E-2</v>
      </c>
    </row>
    <row r="47" spans="2:16">
      <c r="M47" s="117">
        <v>0.75</v>
      </c>
      <c r="N47" s="128">
        <f t="shared" si="1"/>
        <v>5.4360742157303091E-2</v>
      </c>
      <c r="O47" s="129">
        <f t="shared" si="2"/>
        <v>7.3604454957676438E-2</v>
      </c>
    </row>
    <row r="48" spans="2:16">
      <c r="M48" s="117">
        <v>1</v>
      </c>
      <c r="N48" s="128">
        <f t="shared" si="1"/>
        <v>7.2480989543070792E-2</v>
      </c>
      <c r="O48" s="129">
        <f t="shared" si="2"/>
        <v>9.8139273276901917E-2</v>
      </c>
    </row>
    <row r="49" spans="2:19" ht="19">
      <c r="B49" s="146"/>
      <c r="C49" s="26"/>
      <c r="D49" s="26"/>
      <c r="E49" s="147"/>
      <c r="F49" s="26"/>
      <c r="G49" s="26"/>
      <c r="H49" s="26"/>
      <c r="I49" s="26"/>
      <c r="J49" s="26"/>
      <c r="K49" s="26"/>
      <c r="L49" s="26"/>
      <c r="M49" s="117">
        <v>1.25</v>
      </c>
      <c r="N49" s="128">
        <f t="shared" si="1"/>
        <v>9.0601236928838494E-2</v>
      </c>
      <c r="O49" s="129">
        <f t="shared" si="2"/>
        <v>0.1226740915961274</v>
      </c>
      <c r="P49" s="26"/>
      <c r="Q49" s="26"/>
      <c r="R49" s="26"/>
      <c r="S49" s="26"/>
    </row>
    <row r="50" spans="2:19">
      <c r="B50" s="102"/>
      <c r="M50" s="117">
        <v>1.5</v>
      </c>
      <c r="N50" s="128">
        <f t="shared" si="1"/>
        <v>0.10872148431460618</v>
      </c>
      <c r="O50" s="129">
        <f t="shared" si="2"/>
        <v>0.14720890991535288</v>
      </c>
    </row>
    <row r="51" spans="2:19">
      <c r="B51" s="102"/>
    </row>
    <row r="52" spans="2:19">
      <c r="B52" s="102"/>
    </row>
    <row r="53" spans="2:19" ht="19">
      <c r="B53" s="87" t="s">
        <v>45</v>
      </c>
      <c r="C53" s="84"/>
      <c r="D53" s="85"/>
      <c r="E53" s="84"/>
      <c r="F53" s="84"/>
      <c r="G53" s="84"/>
      <c r="H53" s="84"/>
      <c r="I53" s="84"/>
      <c r="J53" s="84"/>
      <c r="K53" s="84"/>
      <c r="L53" s="84"/>
      <c r="M53" s="84"/>
      <c r="N53" s="84"/>
    </row>
    <row r="54" spans="2:19">
      <c r="B54" t="s">
        <v>83</v>
      </c>
    </row>
    <row r="55" spans="2:19">
      <c r="B55" s="181" t="s">
        <v>84</v>
      </c>
      <c r="C55" s="178"/>
      <c r="D55" s="178"/>
    </row>
    <row r="57" spans="2:19">
      <c r="B57" s="181" t="s">
        <v>162</v>
      </c>
    </row>
    <row r="58" spans="2:19">
      <c r="B58" s="102" t="s">
        <v>161</v>
      </c>
    </row>
  </sheetData>
  <mergeCells count="2">
    <mergeCell ref="N38:O38"/>
    <mergeCell ref="N39:O39"/>
  </mergeCells>
  <conditionalFormatting sqref="G3:P12">
    <cfRule type="colorScale" priority="1">
      <colorScale>
        <cfvo type="num" val="-1"/>
        <cfvo type="num" val="0"/>
        <cfvo type="num" val="1"/>
        <color theme="5"/>
        <color theme="0"/>
        <color theme="4"/>
      </colorScale>
    </cfRule>
  </conditionalFormatting>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71165-2C31-4147-81BA-127B57C4A2D4}">
  <dimension ref="A1:AI62"/>
  <sheetViews>
    <sheetView showGridLines="0" tabSelected="1" topLeftCell="A35" zoomScale="58" zoomScaleNormal="50" workbookViewId="0">
      <selection activeCell="D75" sqref="D75"/>
    </sheetView>
  </sheetViews>
  <sheetFormatPr baseColWidth="10" defaultColWidth="10.6640625" defaultRowHeight="16"/>
  <cols>
    <col min="1" max="1" width="29" bestFit="1" customWidth="1"/>
    <col min="2" max="2" width="18.1640625" bestFit="1" customWidth="1"/>
    <col min="3" max="3" width="18.6640625" bestFit="1" customWidth="1"/>
    <col min="4" max="4" width="19" bestFit="1" customWidth="1"/>
    <col min="5" max="5" width="17.83203125" bestFit="1" customWidth="1"/>
    <col min="6" max="7" width="18.5" bestFit="1" customWidth="1"/>
    <col min="8" max="8" width="20" bestFit="1" customWidth="1"/>
    <col min="9" max="9" width="17.1640625" bestFit="1" customWidth="1"/>
    <col min="10" max="10" width="18.5" bestFit="1" customWidth="1"/>
    <col min="11" max="11" width="14.1640625" bestFit="1" customWidth="1"/>
    <col min="12" max="12" width="17.1640625" bestFit="1" customWidth="1"/>
    <col min="13" max="13" width="22.5" bestFit="1" customWidth="1"/>
    <col min="14" max="15" width="11.5" bestFit="1" customWidth="1"/>
    <col min="17" max="20" width="13.83203125" bestFit="1" customWidth="1"/>
    <col min="21" max="21" width="14.6640625" bestFit="1" customWidth="1"/>
    <col min="22" max="22" width="13.6640625" bestFit="1" customWidth="1"/>
    <col min="23" max="24" width="13.5" bestFit="1" customWidth="1"/>
    <col min="25" max="25" width="14.5" bestFit="1" customWidth="1"/>
    <col min="27" max="27" width="11.1640625" bestFit="1" customWidth="1"/>
    <col min="28" max="33" width="16.1640625" bestFit="1" customWidth="1"/>
    <col min="34" max="35" width="13.83203125" bestFit="1" customWidth="1"/>
  </cols>
  <sheetData>
    <row r="1" spans="1:35" ht="19">
      <c r="A1" s="70" t="s">
        <v>49</v>
      </c>
      <c r="B1" s="69"/>
    </row>
    <row r="3" spans="1:35" ht="48">
      <c r="A3" s="45" t="s">
        <v>27</v>
      </c>
      <c r="B3" s="42" t="s">
        <v>12</v>
      </c>
      <c r="C3" s="42" t="s">
        <v>28</v>
      </c>
      <c r="E3" s="50" t="str" cm="1">
        <f t="array" ref="E3:N12">'Changing the data +2% Vol'!F2:O11</f>
        <v>Correlations</v>
      </c>
      <c r="F3" s="41" t="str">
        <v>SPY</v>
      </c>
      <c r="G3" s="41" t="str">
        <v>VGK</v>
      </c>
      <c r="H3" s="41" t="str">
        <v>VWO</v>
      </c>
      <c r="I3" s="41" t="str">
        <v>IEF</v>
      </c>
      <c r="J3" s="41" t="str">
        <v>LQD</v>
      </c>
      <c r="K3" s="41" t="str">
        <v>TIP</v>
      </c>
      <c r="L3" s="41" t="str">
        <v>VNQ</v>
      </c>
      <c r="M3" s="41" t="str">
        <v>GLD</v>
      </c>
      <c r="N3" s="41" t="str">
        <v>DBC</v>
      </c>
      <c r="P3" s="148" t="str" cm="1">
        <f t="array" ref="P3:Y12">'Changing the data +2% Vol'!R2:AA11</f>
        <v>Covariances of monthly returns</v>
      </c>
      <c r="Q3" s="149" t="str">
        <v>SPY</v>
      </c>
      <c r="R3" s="149" t="str">
        <v>VGK</v>
      </c>
      <c r="S3" s="149" t="str">
        <v>VWO</v>
      </c>
      <c r="T3" s="149" t="str">
        <v>IEF</v>
      </c>
      <c r="U3" s="149" t="str">
        <v>LQD</v>
      </c>
      <c r="V3" s="149" t="str">
        <v>TIP</v>
      </c>
      <c r="W3" s="149" t="str">
        <v>VNQ</v>
      </c>
      <c r="X3" s="149" t="str">
        <v>GLD</v>
      </c>
      <c r="Y3" s="149" t="str">
        <v>DBC</v>
      </c>
      <c r="AA3" s="154" t="str" cm="1">
        <f t="array" ref="AA3:AI12">Prices!AJ10:AR19</f>
        <v>Sylvester's criterion</v>
      </c>
      <c r="AB3" s="138">
        <v>0</v>
      </c>
      <c r="AC3" s="138">
        <v>0</v>
      </c>
      <c r="AD3" s="138">
        <v>0</v>
      </c>
      <c r="AE3" s="138">
        <v>0</v>
      </c>
      <c r="AF3" s="138">
        <v>0</v>
      </c>
      <c r="AG3" s="138">
        <v>0</v>
      </c>
      <c r="AH3" s="138">
        <v>0</v>
      </c>
      <c r="AI3" s="138">
        <v>0</v>
      </c>
    </row>
    <row r="4" spans="1:35">
      <c r="A4" s="43" t="s">
        <v>2</v>
      </c>
      <c r="B4" s="44">
        <v>1.3353828920087674E-2</v>
      </c>
      <c r="C4" s="44">
        <v>4.7649232574071006E-2</v>
      </c>
      <c r="E4" s="10" t="str">
        <v>SPY</v>
      </c>
      <c r="F4" s="13">
        <v>1.0000000000000002</v>
      </c>
      <c r="G4" s="14">
        <v>0.83459353197024411</v>
      </c>
      <c r="H4" s="14">
        <v>0.68918815065026184</v>
      </c>
      <c r="I4" s="14">
        <v>0.24578785880324971</v>
      </c>
      <c r="J4" s="14">
        <v>0.66292545162911165</v>
      </c>
      <c r="K4" s="14">
        <v>0.5869997068580286</v>
      </c>
      <c r="L4" s="14">
        <v>0.81607364727359155</v>
      </c>
      <c r="M4" s="14">
        <v>0.15773992785337076</v>
      </c>
      <c r="N4" s="14">
        <v>0.41577682654450299</v>
      </c>
      <c r="P4" s="150" t="str">
        <v>SPY</v>
      </c>
      <c r="Q4" s="151">
        <v>2.27044936489791E-3</v>
      </c>
      <c r="R4" s="152">
        <v>2.0767105354332401E-3</v>
      </c>
      <c r="S4" s="152">
        <v>1.5167281467042557E-3</v>
      </c>
      <c r="T4" s="152">
        <v>2.4655076807844829E-4</v>
      </c>
      <c r="U4" s="152">
        <v>8.6812889813380487E-4</v>
      </c>
      <c r="V4" s="152">
        <v>4.8962366961611116E-4</v>
      </c>
      <c r="W4" s="152">
        <v>2.1278401578029675E-3</v>
      </c>
      <c r="X4" s="152">
        <v>3.1527410043494106E-4</v>
      </c>
      <c r="Y4" s="152">
        <v>9.7690527381058805E-4</v>
      </c>
      <c r="AA4" s="155">
        <v>2.27044936489791E-3</v>
      </c>
      <c r="AB4" s="156">
        <v>0</v>
      </c>
      <c r="AC4" s="156">
        <v>0</v>
      </c>
      <c r="AD4" s="138">
        <v>0</v>
      </c>
      <c r="AE4" s="138">
        <v>0</v>
      </c>
      <c r="AF4" s="138">
        <v>0</v>
      </c>
      <c r="AG4" s="138">
        <v>0</v>
      </c>
      <c r="AH4" s="138">
        <v>0</v>
      </c>
      <c r="AI4" s="138">
        <v>0</v>
      </c>
    </row>
    <row r="5" spans="1:35">
      <c r="A5" s="43" t="s">
        <v>50</v>
      </c>
      <c r="B5" s="44">
        <v>8.4964114811374586E-3</v>
      </c>
      <c r="C5" s="44">
        <v>5.2220982812732616E-2</v>
      </c>
      <c r="E5" s="10" t="str">
        <v>VGK</v>
      </c>
      <c r="F5" s="16">
        <v>0</v>
      </c>
      <c r="G5" s="17">
        <v>1</v>
      </c>
      <c r="H5" s="17">
        <v>0.7719153526680379</v>
      </c>
      <c r="I5" s="17">
        <v>0.29140302467724011</v>
      </c>
      <c r="J5" s="17">
        <v>0.68294569776688485</v>
      </c>
      <c r="K5" s="17">
        <v>0.56960723740571095</v>
      </c>
      <c r="L5" s="17">
        <v>0.78772612337167713</v>
      </c>
      <c r="M5" s="17">
        <v>0.28156056236336541</v>
      </c>
      <c r="N5" s="17">
        <v>0.48797064277427105</v>
      </c>
      <c r="P5" s="150" t="str">
        <v>VGK</v>
      </c>
      <c r="Q5" s="153">
        <v>2.0767105354332401E-3</v>
      </c>
      <c r="R5" s="151">
        <v>2.7270310459277147E-3</v>
      </c>
      <c r="S5" s="152">
        <v>1.8617816853557869E-3</v>
      </c>
      <c r="T5" s="152">
        <v>3.2035323918017897E-4</v>
      </c>
      <c r="U5" s="152">
        <v>9.8015514569673584E-4</v>
      </c>
      <c r="V5" s="152">
        <v>5.2070188471977405E-4</v>
      </c>
      <c r="W5" s="152">
        <v>2.2509923860204025E-3</v>
      </c>
      <c r="X5" s="152">
        <v>6.1674780427122889E-4</v>
      </c>
      <c r="Y5" s="152">
        <v>1.2565361846237073E-3</v>
      </c>
      <c r="AA5" s="156">
        <v>0</v>
      </c>
      <c r="AB5" s="155">
        <v>1.8788592583040481E-6</v>
      </c>
      <c r="AC5" s="156">
        <v>0</v>
      </c>
      <c r="AD5" s="138">
        <v>0</v>
      </c>
      <c r="AE5" s="138">
        <v>0</v>
      </c>
      <c r="AF5" s="138">
        <v>0</v>
      </c>
      <c r="AG5" s="138">
        <v>0</v>
      </c>
      <c r="AH5" s="138">
        <v>0</v>
      </c>
      <c r="AI5" s="138">
        <v>0</v>
      </c>
    </row>
    <row r="6" spans="1:35">
      <c r="A6" s="43" t="s">
        <v>51</v>
      </c>
      <c r="B6" s="44">
        <v>5.4307927354481028E-3</v>
      </c>
      <c r="C6" s="44">
        <v>4.6186391648232912E-2</v>
      </c>
      <c r="E6" s="10" t="str">
        <v>VWO</v>
      </c>
      <c r="F6" s="16">
        <v>0</v>
      </c>
      <c r="G6" s="19">
        <v>0</v>
      </c>
      <c r="H6" s="17">
        <v>1</v>
      </c>
      <c r="I6" s="17">
        <v>0.21723645818688539</v>
      </c>
      <c r="J6" s="17">
        <v>0.64189322701151308</v>
      </c>
      <c r="K6" s="17">
        <v>0.4493184633957199</v>
      </c>
      <c r="L6" s="17">
        <v>0.61941506443092476</v>
      </c>
      <c r="M6" s="17">
        <v>0.34539842831733919</v>
      </c>
      <c r="N6" s="17">
        <v>0.4946949517646817</v>
      </c>
      <c r="P6" s="150" t="str">
        <v>VWO</v>
      </c>
      <c r="Q6" s="153">
        <v>1.5167281467042557E-3</v>
      </c>
      <c r="R6" s="153">
        <v>1.8617816853557869E-3</v>
      </c>
      <c r="S6" s="151">
        <v>2.1331827734839587E-3</v>
      </c>
      <c r="T6" s="152">
        <v>2.11220842524017E-4</v>
      </c>
      <c r="U6" s="152">
        <v>8.1478014395880275E-4</v>
      </c>
      <c r="V6" s="152">
        <v>3.6327616874761429E-4</v>
      </c>
      <c r="W6" s="152">
        <v>1.5654872467697931E-3</v>
      </c>
      <c r="X6" s="152">
        <v>6.6915255096715439E-4</v>
      </c>
      <c r="Y6" s="152">
        <v>1.126646770330555E-3</v>
      </c>
      <c r="AA6" s="138">
        <v>0</v>
      </c>
      <c r="AB6" s="156">
        <v>0</v>
      </c>
      <c r="AC6" s="155">
        <v>1.5931103648294881E-9</v>
      </c>
      <c r="AD6" s="138">
        <v>0</v>
      </c>
      <c r="AE6" s="138">
        <v>0</v>
      </c>
      <c r="AF6" s="138">
        <v>0</v>
      </c>
      <c r="AG6" s="138">
        <v>0</v>
      </c>
      <c r="AH6" s="138">
        <v>0</v>
      </c>
      <c r="AI6" s="138">
        <v>0</v>
      </c>
    </row>
    <row r="7" spans="1:35">
      <c r="A7" s="43" t="s">
        <v>52</v>
      </c>
      <c r="B7" s="44">
        <v>-3.3629337690558328E-4</v>
      </c>
      <c r="C7" s="44">
        <v>2.1051838188021685E-2</v>
      </c>
      <c r="E7" s="10" t="str">
        <v>IEF</v>
      </c>
      <c r="F7" s="16">
        <v>0</v>
      </c>
      <c r="G7" s="19">
        <v>0</v>
      </c>
      <c r="H7" s="19">
        <v>0</v>
      </c>
      <c r="I7" s="17">
        <v>0.99999999999999989</v>
      </c>
      <c r="J7" s="17">
        <v>0.78331896244455235</v>
      </c>
      <c r="K7" s="17">
        <v>0.77027045141303074</v>
      </c>
      <c r="L7" s="17">
        <v>0.39468054118563239</v>
      </c>
      <c r="M7" s="17">
        <v>0.36757219930603363</v>
      </c>
      <c r="N7" s="17">
        <v>-0.28839159901766059</v>
      </c>
      <c r="P7" s="150" t="str">
        <v>IEF</v>
      </c>
      <c r="Q7" s="153">
        <v>2.4655076807844829E-4</v>
      </c>
      <c r="R7" s="153">
        <v>3.2035323918017897E-4</v>
      </c>
      <c r="S7" s="153">
        <v>2.11220842524017E-4</v>
      </c>
      <c r="T7" s="151">
        <v>4.4317989109464814E-4</v>
      </c>
      <c r="U7" s="152">
        <v>4.5320247489009821E-4</v>
      </c>
      <c r="V7" s="152">
        <v>2.8385847879062374E-4</v>
      </c>
      <c r="W7" s="152">
        <v>4.5466285523215955E-4</v>
      </c>
      <c r="X7" s="152">
        <v>3.2458124892382752E-4</v>
      </c>
      <c r="Y7" s="152">
        <v>-2.9937042360176058E-4</v>
      </c>
      <c r="AA7" s="138">
        <v>0</v>
      </c>
      <c r="AB7" s="138">
        <v>0</v>
      </c>
      <c r="AC7" s="138">
        <v>0</v>
      </c>
      <c r="AD7" s="155">
        <v>6.4594939983139182E-13</v>
      </c>
      <c r="AE7" s="138">
        <v>0</v>
      </c>
      <c r="AF7" s="138">
        <v>0</v>
      </c>
      <c r="AG7" s="138">
        <v>0</v>
      </c>
      <c r="AH7" s="138">
        <v>0</v>
      </c>
      <c r="AI7" s="138">
        <v>0</v>
      </c>
    </row>
    <row r="8" spans="1:35">
      <c r="A8" s="43" t="s">
        <v>53</v>
      </c>
      <c r="B8" s="44">
        <v>5.1088611779445811E-4</v>
      </c>
      <c r="C8" s="44">
        <v>2.7482966572273355E-2</v>
      </c>
      <c r="E8" s="10" t="str">
        <v>LQD</v>
      </c>
      <c r="F8" s="16">
        <v>0</v>
      </c>
      <c r="G8" s="19">
        <v>0</v>
      </c>
      <c r="H8" s="19">
        <v>0</v>
      </c>
      <c r="I8" s="19">
        <v>0</v>
      </c>
      <c r="J8" s="17">
        <v>1</v>
      </c>
      <c r="K8" s="17">
        <v>0.82397669317346456</v>
      </c>
      <c r="L8" s="17">
        <v>0.73173725049692595</v>
      </c>
      <c r="M8" s="17">
        <v>0.38027928262801997</v>
      </c>
      <c r="N8" s="17">
        <v>8.3179824718509918E-2</v>
      </c>
      <c r="P8" s="150" t="str">
        <v>LQD</v>
      </c>
      <c r="Q8" s="153">
        <v>8.6812889813380487E-4</v>
      </c>
      <c r="R8" s="153">
        <v>9.8015514569673584E-4</v>
      </c>
      <c r="S8" s="153">
        <v>8.1478014395880275E-4</v>
      </c>
      <c r="T8" s="153">
        <v>4.5320247489009821E-4</v>
      </c>
      <c r="U8" s="151">
        <v>7.5531345161269448E-4</v>
      </c>
      <c r="V8" s="152">
        <v>3.964123232234388E-4</v>
      </c>
      <c r="W8" s="152">
        <v>1.1004555637770645E-3</v>
      </c>
      <c r="X8" s="152">
        <v>4.3838634944414048E-4</v>
      </c>
      <c r="Y8" s="152">
        <v>1.1272438487899193E-4</v>
      </c>
      <c r="AA8" s="138">
        <v>0</v>
      </c>
      <c r="AB8" s="138">
        <v>0</v>
      </c>
      <c r="AC8" s="138">
        <v>0</v>
      </c>
      <c r="AD8" s="138">
        <v>0</v>
      </c>
      <c r="AE8" s="155">
        <v>5.1080238105973812E-17</v>
      </c>
      <c r="AF8" s="138">
        <v>0</v>
      </c>
      <c r="AG8" s="138">
        <v>0</v>
      </c>
      <c r="AH8" s="138">
        <v>0</v>
      </c>
      <c r="AI8" s="138">
        <v>0</v>
      </c>
    </row>
    <row r="9" spans="1:35">
      <c r="A9" s="43" t="s">
        <v>54</v>
      </c>
      <c r="B9" s="44">
        <v>7.9045932563296274E-4</v>
      </c>
      <c r="C9" s="44">
        <v>1.7505261780072584E-2</v>
      </c>
      <c r="E9" s="10" t="str">
        <v>TIP</v>
      </c>
      <c r="F9" s="16">
        <v>0</v>
      </c>
      <c r="G9" s="19">
        <v>0</v>
      </c>
      <c r="H9" s="19">
        <v>0</v>
      </c>
      <c r="I9" s="19">
        <v>0</v>
      </c>
      <c r="J9" s="19">
        <v>0</v>
      </c>
      <c r="K9" s="17">
        <v>1.0000000000000002</v>
      </c>
      <c r="L9" s="17">
        <v>0.66911402801895736</v>
      </c>
      <c r="M9" s="17">
        <v>0.41945981181900932</v>
      </c>
      <c r="N9" s="17">
        <v>8.4887186981553259E-2</v>
      </c>
      <c r="P9" s="150" t="str">
        <v>TIP</v>
      </c>
      <c r="Q9" s="153">
        <v>4.8962366961611116E-4</v>
      </c>
      <c r="R9" s="153">
        <v>5.2070188471977405E-4</v>
      </c>
      <c r="S9" s="153">
        <v>3.6327616874761429E-4</v>
      </c>
      <c r="T9" s="153">
        <v>2.8385847879062374E-4</v>
      </c>
      <c r="U9" s="152">
        <v>3.964123232234388E-4</v>
      </c>
      <c r="V9" s="151">
        <v>3.0643418998887008E-4</v>
      </c>
      <c r="W9" s="152">
        <v>6.4094753467179837E-4</v>
      </c>
      <c r="X9" s="152">
        <v>3.0799928929517873E-4</v>
      </c>
      <c r="Y9" s="152">
        <v>7.3273513285891046E-5</v>
      </c>
      <c r="AA9" s="138">
        <v>0</v>
      </c>
      <c r="AB9" s="138">
        <v>0</v>
      </c>
      <c r="AC9" s="138">
        <v>0</v>
      </c>
      <c r="AD9" s="138">
        <v>0</v>
      </c>
      <c r="AE9" s="138">
        <v>0</v>
      </c>
      <c r="AF9" s="155">
        <v>3.6643132703211448E-21</v>
      </c>
      <c r="AG9" s="138">
        <v>0</v>
      </c>
      <c r="AH9" s="138">
        <v>0</v>
      </c>
      <c r="AI9" s="138">
        <v>0</v>
      </c>
    </row>
    <row r="10" spans="1:35">
      <c r="A10" s="43" t="s">
        <v>3</v>
      </c>
      <c r="B10" s="44">
        <v>3.891999054814182E-3</v>
      </c>
      <c r="C10" s="44">
        <v>5.4720963632938928E-2</v>
      </c>
      <c r="E10" s="10" t="str">
        <v>VNQ</v>
      </c>
      <c r="F10" s="16">
        <v>0</v>
      </c>
      <c r="G10" s="19">
        <v>0</v>
      </c>
      <c r="H10" s="19">
        <v>0</v>
      </c>
      <c r="I10" s="19">
        <v>0</v>
      </c>
      <c r="J10" s="19">
        <v>0</v>
      </c>
      <c r="K10" s="19">
        <v>0</v>
      </c>
      <c r="L10" s="17">
        <v>1.0000000000000002</v>
      </c>
      <c r="M10" s="17">
        <v>0.21561572987866676</v>
      </c>
      <c r="N10" s="17">
        <v>0.35588308562164217</v>
      </c>
      <c r="P10" s="150" t="str">
        <v>VNQ</v>
      </c>
      <c r="Q10" s="153">
        <v>2.1278401578029675E-3</v>
      </c>
      <c r="R10" s="153">
        <v>2.2509923860204025E-3</v>
      </c>
      <c r="S10" s="153">
        <v>1.5654872467697931E-3</v>
      </c>
      <c r="T10" s="153">
        <v>4.5466285523215955E-4</v>
      </c>
      <c r="U10" s="152">
        <v>1.1004555637770645E-3</v>
      </c>
      <c r="V10" s="152">
        <v>6.4094753467179837E-4</v>
      </c>
      <c r="W10" s="151">
        <v>2.9943838609174235E-3</v>
      </c>
      <c r="X10" s="152">
        <v>4.9490851330648289E-4</v>
      </c>
      <c r="Y10" s="152">
        <v>9.6027881459056325E-4</v>
      </c>
      <c r="AA10" s="138">
        <v>0</v>
      </c>
      <c r="AB10" s="138">
        <v>0</v>
      </c>
      <c r="AC10" s="138">
        <v>0</v>
      </c>
      <c r="AD10" s="138">
        <v>0</v>
      </c>
      <c r="AE10" s="138">
        <v>0</v>
      </c>
      <c r="AF10" s="138">
        <v>0</v>
      </c>
      <c r="AG10" s="155">
        <v>2.6255842631221102E-24</v>
      </c>
      <c r="AH10" s="138">
        <v>0</v>
      </c>
      <c r="AI10" s="138">
        <v>0</v>
      </c>
    </row>
    <row r="11" spans="1:35">
      <c r="A11" s="43" t="s">
        <v>55</v>
      </c>
      <c r="B11" s="44">
        <v>1.4965569872160762E-2</v>
      </c>
      <c r="C11" s="44">
        <v>4.1946018779376655E-2</v>
      </c>
      <c r="E11" s="10" t="str">
        <v>GLD</v>
      </c>
      <c r="F11" s="16">
        <v>0</v>
      </c>
      <c r="G11" s="19">
        <v>0</v>
      </c>
      <c r="H11" s="19">
        <v>0</v>
      </c>
      <c r="I11" s="19">
        <v>0</v>
      </c>
      <c r="J11" s="19">
        <v>0</v>
      </c>
      <c r="K11" s="19">
        <v>0</v>
      </c>
      <c r="L11" s="19">
        <v>0</v>
      </c>
      <c r="M11" s="17">
        <v>0.99999999999999989</v>
      </c>
      <c r="N11" s="17">
        <v>3.5311691891397136E-2</v>
      </c>
      <c r="P11" s="150" t="str">
        <v>GLD</v>
      </c>
      <c r="Q11" s="153">
        <v>3.1527410043494106E-4</v>
      </c>
      <c r="R11" s="153">
        <v>6.1674780427122889E-4</v>
      </c>
      <c r="S11" s="153">
        <v>6.6915255096715439E-4</v>
      </c>
      <c r="T11" s="153">
        <v>3.2458124892382752E-4</v>
      </c>
      <c r="U11" s="152">
        <v>4.3838634944414048E-4</v>
      </c>
      <c r="V11" s="152">
        <v>3.0799928929517873E-4</v>
      </c>
      <c r="W11" s="152">
        <v>4.9490851330648289E-4</v>
      </c>
      <c r="X11" s="151">
        <v>1.7594684914398191E-3</v>
      </c>
      <c r="Y11" s="152">
        <v>7.3037439068179897E-5</v>
      </c>
      <c r="AA11" s="138">
        <v>0</v>
      </c>
      <c r="AB11" s="138">
        <v>0</v>
      </c>
      <c r="AC11" s="138">
        <v>0</v>
      </c>
      <c r="AD11" s="138">
        <v>0</v>
      </c>
      <c r="AE11" s="138">
        <v>0</v>
      </c>
      <c r="AF11" s="138">
        <v>0</v>
      </c>
      <c r="AG11" s="138">
        <v>0</v>
      </c>
      <c r="AH11" s="155">
        <v>3.2937397220274853E-27</v>
      </c>
      <c r="AI11" s="138">
        <v>0</v>
      </c>
    </row>
    <row r="12" spans="1:35">
      <c r="A12" s="43" t="s">
        <v>4</v>
      </c>
      <c r="B12" s="44">
        <v>6.0828470658512877E-3</v>
      </c>
      <c r="C12" s="44">
        <v>4.9310143184493317E-2</v>
      </c>
      <c r="E12" s="10" t="str">
        <v>DBC</v>
      </c>
      <c r="F12" s="20">
        <v>0</v>
      </c>
      <c r="G12" s="21">
        <v>0</v>
      </c>
      <c r="H12" s="21">
        <v>0</v>
      </c>
      <c r="I12" s="21">
        <v>0</v>
      </c>
      <c r="J12" s="21">
        <v>0</v>
      </c>
      <c r="K12" s="21">
        <v>0</v>
      </c>
      <c r="L12" s="21">
        <v>0</v>
      </c>
      <c r="M12" s="21">
        <v>0</v>
      </c>
      <c r="N12" s="17">
        <v>1.0000000000000002</v>
      </c>
      <c r="P12" s="150" t="str">
        <v>DBC</v>
      </c>
      <c r="Q12" s="153">
        <v>9.7690527381058805E-4</v>
      </c>
      <c r="R12" s="153">
        <v>1.2565361846237073E-3</v>
      </c>
      <c r="S12" s="153">
        <v>1.126646770330555E-3</v>
      </c>
      <c r="T12" s="153">
        <v>-2.9937042360176058E-4</v>
      </c>
      <c r="U12" s="152">
        <v>1.1272438487899193E-4</v>
      </c>
      <c r="V12" s="152">
        <v>7.3273513285891046E-5</v>
      </c>
      <c r="W12" s="152">
        <v>9.6027881459056325E-4</v>
      </c>
      <c r="X12" s="152">
        <v>7.3037439068179897E-5</v>
      </c>
      <c r="Y12" s="151">
        <v>2.4314902208752327E-3</v>
      </c>
      <c r="AA12" s="138">
        <v>0</v>
      </c>
      <c r="AB12" s="138">
        <v>0</v>
      </c>
      <c r="AC12" s="138">
        <v>0</v>
      </c>
      <c r="AD12" s="138">
        <v>0</v>
      </c>
      <c r="AE12" s="138">
        <v>0</v>
      </c>
      <c r="AF12" s="138">
        <v>0</v>
      </c>
      <c r="AG12" s="138">
        <v>0</v>
      </c>
      <c r="AH12" s="138">
        <v>0</v>
      </c>
      <c r="AI12" s="155">
        <v>3.8861770062086455E-30</v>
      </c>
    </row>
    <row r="13" spans="1:35">
      <c r="A13" s="46"/>
      <c r="B13" s="47"/>
      <c r="C13" s="47"/>
    </row>
    <row r="14" spans="1:35" ht="17">
      <c r="A14" s="53" t="str">
        <f>'Changing the data +2% Vol'!A13</f>
        <v>Fama/French 3 Factors (Monthly)</v>
      </c>
      <c r="B14" s="88">
        <f>'Changing the data +2% Vol'!B13</f>
        <v>2.1049382716049381E-5</v>
      </c>
      <c r="C14" s="48"/>
    </row>
    <row r="17" spans="1:18" ht="19">
      <c r="A17" s="87" t="s">
        <v>32</v>
      </c>
      <c r="B17" s="86"/>
      <c r="C17" s="86"/>
      <c r="D17" s="86"/>
      <c r="E17" s="86"/>
      <c r="F17" s="86"/>
      <c r="G17" s="86"/>
      <c r="H17" s="86"/>
      <c r="I17" s="86"/>
      <c r="J17" s="86"/>
    </row>
    <row r="18" spans="1:18" ht="51">
      <c r="A18" s="61" t="s">
        <v>14</v>
      </c>
      <c r="B18" s="61" t="s">
        <v>15</v>
      </c>
      <c r="C18" s="61" t="s">
        <v>16</v>
      </c>
      <c r="D18" s="61" t="s">
        <v>17</v>
      </c>
      <c r="E18" s="61" t="s">
        <v>18</v>
      </c>
      <c r="F18" s="61" t="s">
        <v>19</v>
      </c>
      <c r="G18" s="61" t="s">
        <v>20</v>
      </c>
      <c r="H18" s="61" t="s">
        <v>21</v>
      </c>
      <c r="I18" s="61" t="s">
        <v>22</v>
      </c>
      <c r="J18" s="61" t="s">
        <v>23</v>
      </c>
      <c r="K18" s="61" t="s">
        <v>25</v>
      </c>
      <c r="L18" s="61" t="s">
        <v>26</v>
      </c>
      <c r="M18" s="62" t="s">
        <v>12</v>
      </c>
      <c r="N18" s="62" t="s">
        <v>30</v>
      </c>
      <c r="O18" s="61" t="s">
        <v>13</v>
      </c>
    </row>
    <row r="19" spans="1:18">
      <c r="A19" s="68">
        <f>SUM(B19:J19)</f>
        <v>1.000000109521225</v>
      </c>
      <c r="B19" s="65">
        <v>4.9799421789756568</v>
      </c>
      <c r="C19" s="65">
        <v>-0.5742536224052941</v>
      </c>
      <c r="D19" s="66">
        <v>-0.74502449424353712</v>
      </c>
      <c r="E19" s="65">
        <v>5.122423185221999</v>
      </c>
      <c r="F19" s="65">
        <v>-4.5798073108928046</v>
      </c>
      <c r="G19" s="65">
        <v>-5.4655541673784667</v>
      </c>
      <c r="H19" s="65">
        <v>-1.001677640255942</v>
      </c>
      <c r="I19" s="65">
        <v>2.797675568524995</v>
      </c>
      <c r="J19" s="65">
        <v>0.46627641197461889</v>
      </c>
      <c r="K19" s="81" cm="1">
        <f t="array" ref="K19">MMULT(MMULT(B19:J19,Q4:Y12),TRANSPOSE(B19:J19))</f>
        <v>1.9365562261912189E-2</v>
      </c>
      <c r="L19" s="65">
        <f>SQRT(K19)</f>
        <v>0.1391602035853361</v>
      </c>
      <c r="M19" s="82" cm="1">
        <f t="array" ref="M19">MMULT(B19:J19,B4:B12)</f>
        <v>9.0000000854597625E-2</v>
      </c>
      <c r="N19" s="67">
        <v>0.09</v>
      </c>
      <c r="O19" s="104">
        <f>(M19-B14)/L19</f>
        <v>0.64658536818469448</v>
      </c>
    </row>
    <row r="22" spans="1:18" ht="19">
      <c r="A22" s="101" t="s">
        <v>31</v>
      </c>
      <c r="B22" s="84"/>
      <c r="C22" s="84"/>
      <c r="D22" s="85"/>
      <c r="E22" s="84"/>
      <c r="F22" s="84"/>
      <c r="G22" s="84"/>
      <c r="H22" s="84"/>
      <c r="I22" s="84"/>
      <c r="J22" s="84"/>
      <c r="K22" s="84"/>
      <c r="L22" s="84"/>
      <c r="M22" s="84"/>
      <c r="N22" s="84"/>
      <c r="O22" s="84"/>
      <c r="P22" s="84"/>
      <c r="Q22" s="84"/>
      <c r="R22" s="84"/>
    </row>
    <row r="23" spans="1:18">
      <c r="A23" s="61" t="s">
        <v>14</v>
      </c>
    </row>
    <row r="24" spans="1:18">
      <c r="A24" s="91">
        <v>1.0000000070478641</v>
      </c>
      <c r="B24" s="89">
        <v>-4.0702462169199989E-3</v>
      </c>
      <c r="C24" s="89">
        <v>-7.9231513810774937E-2</v>
      </c>
      <c r="D24" s="92">
        <v>8.9108026081831673E-2</v>
      </c>
      <c r="E24" s="89">
        <v>0.48026207895707218</v>
      </c>
      <c r="F24" s="89">
        <v>-0.28598479423268092</v>
      </c>
      <c r="G24" s="89">
        <v>0.81924356119632447</v>
      </c>
      <c r="H24" s="89">
        <v>-0.11061063244075613</v>
      </c>
      <c r="I24" s="89">
        <v>-6.9924693948036271E-2</v>
      </c>
      <c r="J24" s="89">
        <v>0.1612082214618038</v>
      </c>
      <c r="K24" s="89">
        <v>1.8722335229556331E-4</v>
      </c>
      <c r="L24" s="141">
        <v>1.3682958462831176E-2</v>
      </c>
      <c r="M24" s="89">
        <v>-4.0000001230195651E-4</v>
      </c>
      <c r="N24" s="89"/>
      <c r="O24" s="83"/>
    </row>
    <row r="25" spans="1:18">
      <c r="A25" s="157">
        <v>0.99999905903219954</v>
      </c>
      <c r="B25" s="158">
        <v>8.5694526856706824E-2</v>
      </c>
      <c r="C25" s="158">
        <v>-8.81473054811375E-2</v>
      </c>
      <c r="D25" s="158">
        <v>7.408402318805489E-2</v>
      </c>
      <c r="E25" s="158">
        <v>0.56386766132119859</v>
      </c>
      <c r="F25" s="158">
        <v>-0.36331684183420343</v>
      </c>
      <c r="G25" s="158">
        <v>0.70605183455146792</v>
      </c>
      <c r="H25" s="158">
        <v>-0.12665973330438321</v>
      </c>
      <c r="I25" s="158">
        <v>-1.8277888491028554E-2</v>
      </c>
      <c r="J25" s="158">
        <v>0.16670278222552393</v>
      </c>
      <c r="K25" s="158">
        <v>1.8076940006402968E-4</v>
      </c>
      <c r="L25" s="158">
        <v>1.3445051136534575E-2</v>
      </c>
      <c r="M25" s="158">
        <v>1.22814496394545E-3</v>
      </c>
      <c r="N25" s="93" t="s">
        <v>48</v>
      </c>
      <c r="O25" s="83"/>
    </row>
    <row r="26" spans="1:18">
      <c r="A26" s="91">
        <v>1.0000000141544461</v>
      </c>
      <c r="B26" s="89">
        <v>0.13927501336720385</v>
      </c>
      <c r="C26" s="89">
        <v>-9.3468653140996089E-2</v>
      </c>
      <c r="D26" s="92">
        <v>6.5117829234386859E-2</v>
      </c>
      <c r="E26" s="89">
        <v>0.61377454341901772</v>
      </c>
      <c r="F26" s="89">
        <v>-0.40948084672738222</v>
      </c>
      <c r="G26" s="89">
        <v>0.63848838993073254</v>
      </c>
      <c r="H26" s="89">
        <v>-0.13623864458689622</v>
      </c>
      <c r="I26" s="89">
        <v>1.2550585800600205E-2</v>
      </c>
      <c r="J26" s="89">
        <v>0.16998179685777928</v>
      </c>
      <c r="K26" s="89">
        <v>1.8306903214168938E-4</v>
      </c>
      <c r="L26" s="141">
        <v>1.3530300519267463E-2</v>
      </c>
      <c r="M26" s="89">
        <v>2.1999999728360654E-3</v>
      </c>
      <c r="N26" s="89"/>
      <c r="O26" s="83"/>
    </row>
    <row r="27" spans="1:18">
      <c r="A27" s="91">
        <v>0.99999999972534437</v>
      </c>
      <c r="B27" s="93">
        <v>0.19440755469701071</v>
      </c>
      <c r="C27" s="93">
        <v>-9.8946167570560239E-2</v>
      </c>
      <c r="D27" s="90">
        <v>5.5891777381457425E-2</v>
      </c>
      <c r="E27" s="93">
        <v>0.6651239718126446</v>
      </c>
      <c r="F27" s="93">
        <v>-0.45697765919153216</v>
      </c>
      <c r="G27" s="93">
        <v>0.5689656690578514</v>
      </c>
      <c r="H27" s="93">
        <v>-0.14609282986269689</v>
      </c>
      <c r="I27" s="93">
        <v>4.4272330284112461E-2</v>
      </c>
      <c r="J27" s="93">
        <v>0.17335535311705697</v>
      </c>
      <c r="K27" s="93">
        <v>1.9023534868347524E-4</v>
      </c>
      <c r="L27" s="160">
        <v>1.3792583104098928E-2</v>
      </c>
      <c r="M27" s="93">
        <v>3.2000000185040205E-3</v>
      </c>
      <c r="N27" s="93"/>
      <c r="O27" s="94"/>
    </row>
    <row r="28" spans="1:18">
      <c r="A28" s="91">
        <v>0.99999999646407778</v>
      </c>
      <c r="B28" s="89">
        <v>0.24954096824419741</v>
      </c>
      <c r="C28" s="89">
        <v>-0.10442064495378772</v>
      </c>
      <c r="D28" s="89">
        <v>4.6663268863300085E-2</v>
      </c>
      <c r="E28" s="89">
        <v>0.7164786091895341</v>
      </c>
      <c r="F28" s="89">
        <v>-0.50447576159980723</v>
      </c>
      <c r="G28" s="89">
        <v>0.49944155080340447</v>
      </c>
      <c r="H28" s="89">
        <v>-0.15595257560249479</v>
      </c>
      <c r="I28" s="89">
        <v>7.5993091479589214E-2</v>
      </c>
      <c r="J28" s="89">
        <v>0.17673149004014224</v>
      </c>
      <c r="K28" s="89">
        <v>2.0227063407709516E-4</v>
      </c>
      <c r="L28" s="141">
        <v>1.4222188090343032E-2</v>
      </c>
      <c r="M28" s="89">
        <v>4.1999999996317787E-3</v>
      </c>
      <c r="N28" s="89"/>
      <c r="O28" s="83"/>
    </row>
    <row r="29" spans="1:18">
      <c r="A29" s="91">
        <v>1.00000001907647</v>
      </c>
      <c r="B29" s="89">
        <v>0.35980671135497788</v>
      </c>
      <c r="C29" s="89">
        <v>-0.11537246116131455</v>
      </c>
      <c r="D29" s="89">
        <v>2.8209258278615312E-2</v>
      </c>
      <c r="E29" s="89">
        <v>0.81917977342982751</v>
      </c>
      <c r="F29" s="89">
        <v>-0.59947283641703397</v>
      </c>
      <c r="G29" s="89">
        <v>0.36039998660909583</v>
      </c>
      <c r="H29" s="89">
        <v>-0.1756663492270317</v>
      </c>
      <c r="I29" s="89">
        <v>0.1394354650719232</v>
      </c>
      <c r="J29" s="89">
        <v>0.18348047113741059</v>
      </c>
      <c r="K29" s="89">
        <v>2.4094811166235991E-4</v>
      </c>
      <c r="L29" s="141">
        <v>1.5522503395469428E-2</v>
      </c>
      <c r="M29" s="89">
        <v>6.200000022536946E-3</v>
      </c>
      <c r="N29" s="89"/>
      <c r="O29" s="83"/>
    </row>
    <row r="30" spans="1:18">
      <c r="A30" s="91">
        <v>1.0000000203976689</v>
      </c>
      <c r="B30" s="89">
        <v>0.47007260835892778</v>
      </c>
      <c r="C30" s="89">
        <v>-0.12632432528727228</v>
      </c>
      <c r="D30" s="89">
        <v>9.7553269989204515E-3</v>
      </c>
      <c r="E30" s="89">
        <v>0.92188270935196259</v>
      </c>
      <c r="F30" s="89">
        <v>-0.6944699076054357</v>
      </c>
      <c r="G30" s="89">
        <v>0.22135603388943142</v>
      </c>
      <c r="H30" s="89">
        <v>-0.19538028740717125</v>
      </c>
      <c r="I30" s="89">
        <v>0.20287825753575014</v>
      </c>
      <c r="J30" s="89">
        <v>0.19022960456255583</v>
      </c>
      <c r="K30" s="89">
        <v>2.9910165258174273E-4</v>
      </c>
      <c r="L30" s="141">
        <v>1.7294555576300386E-2</v>
      </c>
      <c r="M30" s="89">
        <v>8.2000061968638561E-3</v>
      </c>
      <c r="N30" s="89"/>
      <c r="O30" s="83"/>
    </row>
    <row r="31" spans="1:18">
      <c r="A31" s="91">
        <v>0.99999999998705613</v>
      </c>
      <c r="B31" s="89">
        <v>0.58033829688346772</v>
      </c>
      <c r="C31" s="89">
        <v>-0.13727706940244488</v>
      </c>
      <c r="D31" s="92">
        <v>-8.6990148183288072E-3</v>
      </c>
      <c r="E31" s="89">
        <v>1.0245842288213831</v>
      </c>
      <c r="F31" s="89">
        <v>-0.78946532747697884</v>
      </c>
      <c r="G31" s="89">
        <v>8.2312901490819282E-2</v>
      </c>
      <c r="H31" s="89">
        <v>-0.21509377643556873</v>
      </c>
      <c r="I31" s="89">
        <v>0.26632066305726471</v>
      </c>
      <c r="J31" s="89">
        <v>0.19697909786744267</v>
      </c>
      <c r="K31" s="89">
        <v>3.7673062784663003E-4</v>
      </c>
      <c r="L31" s="141">
        <v>1.9409549913551063E-2</v>
      </c>
      <c r="M31" s="89">
        <v>1.0199999995685879E-2</v>
      </c>
      <c r="N31" s="89"/>
      <c r="O31" s="83"/>
    </row>
    <row r="32" spans="1:18">
      <c r="A32" s="91">
        <v>1.0000000567530545</v>
      </c>
      <c r="B32" s="93">
        <v>1.0214008428272698</v>
      </c>
      <c r="C32" s="93">
        <v>-0.18108323238948262</v>
      </c>
      <c r="D32" s="93">
        <v>-8.2515921440891912E-2</v>
      </c>
      <c r="E32" s="93">
        <v>1.4353945546216962</v>
      </c>
      <c r="F32" s="93">
        <v>-1.1694503256169102</v>
      </c>
      <c r="G32" s="93">
        <v>-0.47386270264282088</v>
      </c>
      <c r="H32" s="93">
        <v>-0.29394971656204999</v>
      </c>
      <c r="I32" s="93">
        <v>0.52009054664511856</v>
      </c>
      <c r="J32" s="93">
        <v>0.22397601131112554</v>
      </c>
      <c r="K32" s="93">
        <v>8.8200602649947488E-4</v>
      </c>
      <c r="L32" s="160">
        <v>2.9698586271058001E-2</v>
      </c>
      <c r="M32" s="93">
        <v>1.8200000001236442E-2</v>
      </c>
      <c r="N32" s="93"/>
      <c r="O32" s="94"/>
    </row>
    <row r="33" spans="1:16">
      <c r="A33" s="159">
        <v>0.99999994921443891</v>
      </c>
      <c r="B33" s="160">
        <v>3.4769151620320637</v>
      </c>
      <c r="C33" s="160">
        <v>-0.42496689003822169</v>
      </c>
      <c r="D33" s="160">
        <v>-0.49347372911524623</v>
      </c>
      <c r="E33" s="160">
        <v>3.7224877386527933</v>
      </c>
      <c r="F33" s="160">
        <v>-3.2849299065802655</v>
      </c>
      <c r="G33" s="160">
        <v>-3.5702477373584895</v>
      </c>
      <c r="H33" s="160">
        <v>-0.73296395739632514</v>
      </c>
      <c r="I33" s="160">
        <v>1.9328991818957395</v>
      </c>
      <c r="J33" s="160">
        <v>0.37428008712239064</v>
      </c>
      <c r="K33" s="160">
        <v>9.3915991780946836E-3</v>
      </c>
      <c r="L33" s="160">
        <v>9.6910263533305299E-2</v>
      </c>
      <c r="M33" s="160">
        <v>6.2738205721324325E-2</v>
      </c>
      <c r="N33" s="94" t="s">
        <v>68</v>
      </c>
      <c r="O33" s="83"/>
    </row>
    <row r="34" spans="1:16">
      <c r="A34" s="4">
        <v>1.000000109521225</v>
      </c>
      <c r="B34" s="141">
        <v>4.9799421789756568</v>
      </c>
      <c r="C34" s="141">
        <v>-0.5742536224052941</v>
      </c>
      <c r="D34" s="141">
        <v>-0.74502449424353712</v>
      </c>
      <c r="E34" s="141">
        <v>5.122423185221999</v>
      </c>
      <c r="F34" s="141">
        <v>-4.5798073108928046</v>
      </c>
      <c r="G34" s="141">
        <v>-5.4655541673784667</v>
      </c>
      <c r="H34" s="141">
        <v>-1.001677640255942</v>
      </c>
      <c r="I34" s="141">
        <v>2.797675568524995</v>
      </c>
      <c r="J34" s="141">
        <v>0.46627641197461889</v>
      </c>
      <c r="K34" s="141">
        <v>1.9365562261912189E-2</v>
      </c>
      <c r="L34" s="141">
        <v>0.1391602035853361</v>
      </c>
      <c r="M34" s="141">
        <v>9.0000000854597625E-2</v>
      </c>
      <c r="N34" s="83"/>
      <c r="O34" s="83"/>
    </row>
    <row r="37" spans="1:16">
      <c r="L37" s="175" t="s">
        <v>39</v>
      </c>
      <c r="M37" s="175"/>
      <c r="O37" s="1"/>
      <c r="P37" s="1"/>
    </row>
    <row r="38" spans="1:16">
      <c r="K38" s="100" t="s">
        <v>35</v>
      </c>
      <c r="L38" s="71">
        <v>0</v>
      </c>
      <c r="M38" s="97">
        <f>B14</f>
        <v>2.1049382716049381E-5</v>
      </c>
    </row>
    <row r="39" spans="1:16">
      <c r="J39" s="95"/>
      <c r="K39" s="38" t="s">
        <v>36</v>
      </c>
      <c r="L39" s="98">
        <f>L33</f>
        <v>9.6910263533305299E-2</v>
      </c>
      <c r="M39" s="98">
        <f>M33</f>
        <v>6.2738205721324325E-2</v>
      </c>
    </row>
    <row r="40" spans="1:16">
      <c r="K40" s="38"/>
      <c r="L40" s="99"/>
      <c r="M40" s="99"/>
    </row>
    <row r="41" spans="1:16">
      <c r="K41" s="161" t="s">
        <v>65</v>
      </c>
    </row>
    <row r="42" spans="1:16">
      <c r="K42" s="161">
        <v>0</v>
      </c>
      <c r="L42" s="128">
        <f>$L$39*K42</f>
        <v>0</v>
      </c>
      <c r="M42" s="128">
        <f>$B$14+K42*($M$33-$B$14)</f>
        <v>2.1049382716049381E-5</v>
      </c>
    </row>
    <row r="43" spans="1:16">
      <c r="K43" s="161">
        <v>0.25</v>
      </c>
      <c r="L43" s="128">
        <f t="shared" ref="L43:L48" si="0">$L$39*K43</f>
        <v>2.4227565883326325E-2</v>
      </c>
      <c r="M43" s="128">
        <f t="shared" ref="M43:M48" si="1">$B$14+K43*($M$33-$B$14)</f>
        <v>1.5700338467368118E-2</v>
      </c>
    </row>
    <row r="44" spans="1:16">
      <c r="K44" s="161">
        <v>0.5</v>
      </c>
      <c r="L44" s="128">
        <f t="shared" si="0"/>
        <v>4.845513176665265E-2</v>
      </c>
      <c r="M44" s="128">
        <f t="shared" si="1"/>
        <v>3.1379627552020187E-2</v>
      </c>
    </row>
    <row r="45" spans="1:16">
      <c r="K45" s="161">
        <v>0.75</v>
      </c>
      <c r="L45" s="128">
        <f t="shared" si="0"/>
        <v>7.2682697649978978E-2</v>
      </c>
      <c r="M45" s="128">
        <f t="shared" si="1"/>
        <v>4.7058916636672256E-2</v>
      </c>
    </row>
    <row r="46" spans="1:16">
      <c r="K46" s="161">
        <v>1</v>
      </c>
      <c r="L46" s="128">
        <f t="shared" si="0"/>
        <v>9.6910263533305299E-2</v>
      </c>
      <c r="M46" s="128">
        <f t="shared" si="1"/>
        <v>6.2738205721324325E-2</v>
      </c>
    </row>
    <row r="47" spans="1:16">
      <c r="K47" s="161">
        <v>1.25</v>
      </c>
      <c r="L47" s="128">
        <f t="shared" si="0"/>
        <v>0.12113782941663162</v>
      </c>
      <c r="M47" s="128">
        <f t="shared" si="1"/>
        <v>7.8417494805976401E-2</v>
      </c>
    </row>
    <row r="48" spans="1:16">
      <c r="K48" s="161">
        <v>1.5</v>
      </c>
      <c r="L48" s="128">
        <f t="shared" si="0"/>
        <v>0.14536539529995796</v>
      </c>
      <c r="M48" s="128">
        <f t="shared" si="1"/>
        <v>9.4096783890628463E-2</v>
      </c>
    </row>
    <row r="54" spans="1:11" ht="19">
      <c r="A54" s="87" t="s">
        <v>45</v>
      </c>
      <c r="B54" s="84"/>
      <c r="C54" s="84"/>
      <c r="D54" s="85"/>
      <c r="E54" s="84"/>
      <c r="F54" s="84"/>
      <c r="G54" s="84"/>
      <c r="H54" s="84"/>
      <c r="I54" s="84"/>
      <c r="J54" s="84"/>
      <c r="K54" s="84"/>
    </row>
    <row r="55" spans="1:11" ht="18">
      <c r="A55" s="57" t="s">
        <v>85</v>
      </c>
    </row>
    <row r="56" spans="1:11" ht="18">
      <c r="A56" s="57" t="s">
        <v>86</v>
      </c>
    </row>
    <row r="58" spans="1:11" ht="18">
      <c r="A58" s="57" t="s">
        <v>87</v>
      </c>
    </row>
    <row r="59" spans="1:11" ht="18">
      <c r="A59" s="57" t="s">
        <v>88</v>
      </c>
    </row>
    <row r="61" spans="1:11" ht="18">
      <c r="A61" s="186" t="s">
        <v>163</v>
      </c>
    </row>
    <row r="62" spans="1:11" ht="18">
      <c r="A62" s="186" t="s">
        <v>164</v>
      </c>
    </row>
  </sheetData>
  <mergeCells count="1">
    <mergeCell ref="L37:M37"/>
  </mergeCells>
  <conditionalFormatting sqref="F4:N12">
    <cfRule type="colorScale" priority="1">
      <colorScale>
        <cfvo type="num" val="-1"/>
        <cfvo type="num" val="0"/>
        <cfvo type="num" val="1"/>
        <color theme="5"/>
        <color theme="0"/>
        <color theme="4"/>
      </colorScale>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Prices</vt:lpstr>
      <vt:lpstr>Efficient Frontier &amp; Specific </vt:lpstr>
      <vt:lpstr>Explanations</vt:lpstr>
      <vt:lpstr>No short sales</vt:lpstr>
      <vt:lpstr>Changing the data +2% Vol</vt:lpstr>
      <vt:lpstr>Diversity 9 assets</vt:lpstr>
      <vt:lpstr>Prices!SPY_ETF_Stock_Price_History__1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ARORA Pranay</dc:creator>
  <cp:lastModifiedBy>KASLIWAL Archie</cp:lastModifiedBy>
  <cp:lastPrinted>2025-12-21T14:27:50Z</cp:lastPrinted>
  <dcterms:created xsi:type="dcterms:W3CDTF">2025-10-26T13:30:42Z</dcterms:created>
  <dcterms:modified xsi:type="dcterms:W3CDTF">2025-12-21T21:57:29Z</dcterms:modified>
</cp:coreProperties>
</file>